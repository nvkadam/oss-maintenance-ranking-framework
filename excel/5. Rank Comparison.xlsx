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git\excel\"/>
    </mc:Choice>
  </mc:AlternateContent>
  <xr:revisionPtr revIDLastSave="0" documentId="13_ncr:1_{4AE80119-77E1-4D74-AABF-01FD708BC0F5}" xr6:coauthVersionLast="47" xr6:coauthVersionMax="47" xr10:uidLastSave="{00000000-0000-0000-0000-000000000000}"/>
  <bookViews>
    <workbookView xWindow="-120" yWindow="-120" windowWidth="20730" windowHeight="11160" xr2:uid="{57971DE3-9D18-4B35-A82F-75B938ED0AF1}"/>
  </bookViews>
  <sheets>
    <sheet name="Spearman &amp; Kend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D20" i="1" l="1"/>
  <c r="C20" i="1"/>
  <c r="E20" i="1"/>
  <c r="D23" i="1"/>
  <c r="D21" i="1" s="1"/>
  <c r="E23" i="1"/>
  <c r="E21" i="1" s="1"/>
  <c r="C23" i="1"/>
  <c r="C21" i="1" s="1"/>
</calcChain>
</file>

<file path=xl/sharedStrings.xml><?xml version="1.0" encoding="utf-8"?>
<sst xmlns="http://schemas.openxmlformats.org/spreadsheetml/2006/main" count="24" uniqueCount="24">
  <si>
    <t>bugzilla.mozilla.org</t>
  </si>
  <si>
    <t>CA Program</t>
  </si>
  <si>
    <t>Calendar</t>
  </si>
  <si>
    <t>Conduit</t>
  </si>
  <si>
    <t>Data Platform and Tools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</si>
  <si>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</si>
  <si>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</si>
  <si>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</si>
  <si>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</si>
  <si>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</si>
  <si>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</si>
  <si>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</si>
  <si>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</si>
  <si>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</si>
  <si>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</si>
  <si>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Mozilla QA</t>
  </si>
  <si>
    <t>Product</t>
  </si>
  <si>
    <t>Spearman</t>
  </si>
  <si>
    <t>Kendall's Tau</t>
  </si>
  <si>
    <t xml:space="preserve">Total Pairs </t>
  </si>
  <si>
    <t>Discordant pairs</t>
  </si>
  <si>
    <t>Concordant pairs</t>
  </si>
  <si>
    <t>Perturbance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</si>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</sst>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F6EF-AB7A-40C7-B4D3-8270BC3FF44A}">
  <dimension ref="A1:E25"/>
  <sheetViews>
    <sheetView tabSelected="1" workbookViewId="0">
      <selection activeCell="H7" sqref="H7"/>
    </sheetView>
  </sheetViews>
  <sheetFormatPr defaultRowHeight="15" x14ac:dyDescent="0.25"/>
  <cols>
    <col min="1" max="1" width="19.140625" bestFit="1" customWidth="1"/>
    <col min="2" max="2" width="15.85546875" bestFit="1" customWidth="1"/>
  </cols>
  <sheetData>
    <row r="1" spans="1:5" ht="15.75" thickBot="1" x14ac:dyDescent="0.3">
      <c r="C1" s="4" t="s">
        <v>22</v>
      </c>
      <c r="D1" s="5"/>
      <c r="E1" s="6"/>
    </row>
    <row r="2" spans="1:5" ht="15.75" thickBot="1" x14ac:dyDescent="0.3">
      <c r="A2" t="s">
        <v>16</v>
      </c>
      <c r="B2" s="2" t="s">
        <v>23</v>
      </c>
      <c r="C2" s="3">
        <v>0.05</v>
      </c>
      <c r="D2" s="3">
        <v>0.1</v>
      </c>
      <c r="E2" s="3">
        <v>0.15</v>
      </c>
    </row>
    <row r="3" spans="1:5" ht="15.75" thickBot="1" x14ac:dyDescent="0.3">
      <c r="A3" s="1" t="s">
        <v>0</v>
      </c>
      <c r="B3" s="7">
        <v>8</v>
      </c>
      <c r="C3" s="8">
        <v>8</v>
      </c>
      <c r="D3" s="8">
        <v>8</v>
      </c>
      <c r="E3" s="8">
        <v>8</v>
      </c>
    </row>
    <row r="4" spans="1:5" ht="15.75" thickBot="1" x14ac:dyDescent="0.3">
      <c r="A4" s="1" t="s">
        <v>1</v>
      </c>
      <c r="B4" s="7">
        <v>1</v>
      </c>
      <c r="C4" s="9">
        <v>1</v>
      </c>
      <c r="D4" s="9">
        <v>1</v>
      </c>
      <c r="E4" s="9">
        <v>1</v>
      </c>
    </row>
    <row r="5" spans="1:5" ht="15.75" thickBot="1" x14ac:dyDescent="0.3">
      <c r="A5" s="1" t="s">
        <v>2</v>
      </c>
      <c r="B5" s="7">
        <v>16</v>
      </c>
      <c r="C5" s="9">
        <v>16</v>
      </c>
      <c r="D5" s="9">
        <v>16</v>
      </c>
      <c r="E5" s="9">
        <v>16</v>
      </c>
    </row>
    <row r="6" spans="1:5" ht="15.75" thickBot="1" x14ac:dyDescent="0.3">
      <c r="A6" s="1" t="s">
        <v>3</v>
      </c>
      <c r="B6" s="7">
        <v>6</v>
      </c>
      <c r="C6" s="9">
        <v>6</v>
      </c>
      <c r="D6" s="11">
        <v>7</v>
      </c>
      <c r="E6" s="9">
        <v>7</v>
      </c>
    </row>
    <row r="7" spans="1:5" ht="15.75" thickBot="1" x14ac:dyDescent="0.3">
      <c r="A7" s="1" t="s">
        <v>4</v>
      </c>
      <c r="B7" s="7">
        <v>3</v>
      </c>
      <c r="C7" s="9">
        <v>3</v>
      </c>
      <c r="D7" s="9">
        <v>3</v>
      </c>
      <c r="E7" s="9">
        <v>3</v>
      </c>
    </row>
    <row r="8" spans="1:5" ht="15.75" thickBot="1" x14ac:dyDescent="0.3">
      <c r="A8" s="1" t="s">
        <v>5</v>
      </c>
      <c r="B8" s="7">
        <v>9</v>
      </c>
      <c r="C8" s="9">
        <v>9</v>
      </c>
      <c r="D8" s="9">
        <v>9</v>
      </c>
      <c r="E8" s="9">
        <v>9</v>
      </c>
    </row>
    <row r="9" spans="1:5" ht="15.75" thickBot="1" x14ac:dyDescent="0.3">
      <c r="A9" s="1" t="s">
        <v>6</v>
      </c>
      <c r="B9" s="7">
        <v>13</v>
      </c>
      <c r="C9" s="9">
        <v>13</v>
      </c>
      <c r="D9" s="9">
        <v>13</v>
      </c>
      <c r="E9" s="11">
        <v>12</v>
      </c>
    </row>
    <row r="10" spans="1:5" ht="15.75" thickBot="1" x14ac:dyDescent="0.3">
      <c r="A10" s="1" t="s">
        <v>7</v>
      </c>
      <c r="B10" s="7">
        <v>14</v>
      </c>
      <c r="C10" s="9">
        <v>14</v>
      </c>
      <c r="D10" s="11">
        <v>15</v>
      </c>
      <c r="E10" s="9">
        <v>15</v>
      </c>
    </row>
    <row r="11" spans="1:5" ht="15.75" thickBot="1" x14ac:dyDescent="0.3">
      <c r="A11" s="1" t="s">
        <v>15</v>
      </c>
      <c r="B11" s="7">
        <v>4</v>
      </c>
      <c r="C11" s="9">
        <v>4</v>
      </c>
      <c r="D11" s="9">
        <v>4</v>
      </c>
      <c r="E11" s="9">
        <v>4</v>
      </c>
    </row>
    <row r="12" spans="1:5" ht="15.75" thickBot="1" x14ac:dyDescent="0.3">
      <c r="A12" s="1" t="s">
        <v>8</v>
      </c>
      <c r="B12" s="7">
        <v>2</v>
      </c>
      <c r="C12" s="9">
        <v>2</v>
      </c>
      <c r="D12" s="9">
        <v>2</v>
      </c>
      <c r="E12" s="9">
        <v>2</v>
      </c>
    </row>
    <row r="13" spans="1:5" ht="15.75" thickBot="1" x14ac:dyDescent="0.3">
      <c r="A13" s="1" t="s">
        <v>9</v>
      </c>
      <c r="B13" s="7">
        <v>15</v>
      </c>
      <c r="C13" s="9">
        <v>15</v>
      </c>
      <c r="D13" s="11">
        <v>14</v>
      </c>
      <c r="E13" s="9">
        <v>14</v>
      </c>
    </row>
    <row r="14" spans="1:5" ht="15.75" thickBot="1" x14ac:dyDescent="0.3">
      <c r="A14" s="1" t="s">
        <v>10</v>
      </c>
      <c r="B14" s="7">
        <v>5</v>
      </c>
      <c r="C14" s="9">
        <v>5</v>
      </c>
      <c r="D14" s="9">
        <v>5</v>
      </c>
      <c r="E14" s="9">
        <v>5</v>
      </c>
    </row>
    <row r="15" spans="1:5" ht="15.75" thickBot="1" x14ac:dyDescent="0.3">
      <c r="A15" s="1" t="s">
        <v>11</v>
      </c>
      <c r="B15" s="7">
        <v>10</v>
      </c>
      <c r="C15" s="9">
        <v>10</v>
      </c>
      <c r="D15" s="9">
        <v>10</v>
      </c>
      <c r="E15" s="9">
        <v>10</v>
      </c>
    </row>
    <row r="16" spans="1:5" ht="15.75" thickBot="1" x14ac:dyDescent="0.3">
      <c r="A16" s="1" t="s">
        <v>12</v>
      </c>
      <c r="B16" s="7">
        <v>7</v>
      </c>
      <c r="C16" s="9">
        <v>7</v>
      </c>
      <c r="D16" s="11">
        <v>6</v>
      </c>
      <c r="E16" s="9">
        <v>6</v>
      </c>
    </row>
    <row r="17" spans="1:5" ht="15.75" thickBot="1" x14ac:dyDescent="0.3">
      <c r="A17" s="1" t="s">
        <v>13</v>
      </c>
      <c r="B17" s="7">
        <v>12</v>
      </c>
      <c r="C17" s="9">
        <v>12</v>
      </c>
      <c r="D17" s="9">
        <v>12</v>
      </c>
      <c r="E17" s="11">
        <v>13</v>
      </c>
    </row>
    <row r="18" spans="1:5" ht="15.75" thickBot="1" x14ac:dyDescent="0.3">
      <c r="A18" s="1" t="s">
        <v>14</v>
      </c>
      <c r="B18" s="7">
        <v>11</v>
      </c>
      <c r="C18" s="10">
        <v>11</v>
      </c>
      <c r="D18" s="10">
        <v>11</v>
      </c>
      <c r="E18" s="10">
        <v>11</v>
      </c>
    </row>
    <row r="20" spans="1:5" x14ac:dyDescent="0.25">
      <c r="B20" t="s">
        <v>17</v>
      </c>
      <c r="C20" s="2">
        <f>CORREL($B$3:$B$18,C3:C18)</f>
        <v>1</v>
      </c>
      <c r="D20" s="2">
        <f t="shared" ref="D20:E20" si="0">CORREL($B$3:$B$18,D3:D18)</f>
        <v>0.99411764705882355</v>
      </c>
      <c r="E20" s="2">
        <f t="shared" si="0"/>
        <v>0.99117647058823533</v>
      </c>
    </row>
    <row r="21" spans="1:5" x14ac:dyDescent="0.25">
      <c r="B21" t="s">
        <v>18</v>
      </c>
      <c r="C21" s="2">
        <f>(C23-C22)/(C23+C22)</f>
        <v>1</v>
      </c>
      <c r="D21" s="2">
        <f>(D23-D22)/(D23+D22)</f>
        <v>0.96666666666666667</v>
      </c>
      <c r="E21" s="2">
        <f>(E23-E22)/(E23+E22)</f>
        <v>0.95</v>
      </c>
    </row>
    <row r="22" spans="1:5" x14ac:dyDescent="0.25">
      <c r="B22" t="s">
        <v>20</v>
      </c>
      <c r="C22" s="2">
        <v>0</v>
      </c>
      <c r="D22" s="2">
        <v>2</v>
      </c>
      <c r="E22" s="2">
        <v>3</v>
      </c>
    </row>
    <row r="23" spans="1:5" x14ac:dyDescent="0.25">
      <c r="B23" t="s">
        <v>21</v>
      </c>
      <c r="C23" s="2">
        <f>$B$25-C22</f>
        <v>120</v>
      </c>
      <c r="D23" s="2">
        <f>$B$25-D22</f>
        <v>118</v>
      </c>
      <c r="E23" s="2">
        <f>$B$25-E22</f>
        <v>117</v>
      </c>
    </row>
    <row r="25" spans="1:5" x14ac:dyDescent="0.25">
      <c r="A25" t="s">
        <v>19</v>
      </c>
      <c r="B25">
        <f>(16*15)/2</f>
        <v>120</v>
      </c>
    </row>
  </sheetData>
  <sortState xmlns:xlrd2="http://schemas.microsoft.com/office/spreadsheetml/2017/richdata2" ref="A3:A18">
    <sortCondition ref="A3:A18"/>
  </sortState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 &amp; Kendall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Kadam</dc:creator>
  <cp:lastModifiedBy>Nidhi Kadam</cp:lastModifiedBy>
  <dcterms:created xsi:type="dcterms:W3CDTF">2026-03-31T17:08:22Z</dcterms:created>
  <dcterms:modified xsi:type="dcterms:W3CDTF">2026-04-03T11:59:39Z</dcterms:modified>
</cp:coreProperties>
</file>