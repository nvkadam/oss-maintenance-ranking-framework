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35\Desktop\PhD\2. Fuzzy on git (1-IJMEMS)\git\excel\"/>
    </mc:Choice>
  </mc:AlternateContent>
  <xr:revisionPtr revIDLastSave="0" documentId="13_ncr:1_{B6B87C3A-3C23-48BE-85DA-553C70CBD483}" xr6:coauthVersionLast="47" xr6:coauthVersionMax="47" xr10:uidLastSave="{00000000-0000-0000-0000-000000000000}"/>
  <bookViews>
    <workbookView xWindow="15" yWindow="15" windowWidth="20460" windowHeight="10890" activeTab="1" xr2:uid="{88C08D68-2E9A-4EC7-8AF8-2F1D08621B1E}"/>
  </bookViews>
  <sheets>
    <sheet name="cnt" sheetId="6" r:id="rId1"/>
    <sheet name="bi-monthly aggregated data" sheetId="2" r:id="rId2"/>
    <sheet name="calculation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4" i="7" l="1"/>
  <c r="CW21" i="7" s="1"/>
  <c r="CL4" i="7"/>
  <c r="Z46" i="7"/>
  <c r="V38" i="7"/>
  <c r="Z45" i="7"/>
  <c r="V45" i="7"/>
  <c r="V37" i="7"/>
  <c r="CW6" i="7"/>
  <c r="CF4" i="7"/>
  <c r="V22" i="7"/>
  <c r="X29" i="7"/>
  <c r="W29" i="7"/>
  <c r="V29" i="7"/>
  <c r="U29" i="7"/>
  <c r="X28" i="7"/>
  <c r="W28" i="7"/>
  <c r="V28" i="7"/>
  <c r="U28" i="7"/>
  <c r="X27" i="7"/>
  <c r="W27" i="7"/>
  <c r="V27" i="7"/>
  <c r="U27" i="7"/>
  <c r="X24" i="7"/>
  <c r="W24" i="7"/>
  <c r="V24" i="7"/>
  <c r="U24" i="7"/>
  <c r="X23" i="7"/>
  <c r="W23" i="7"/>
  <c r="V23" i="7"/>
  <c r="U23" i="7"/>
  <c r="X22" i="7"/>
  <c r="W22" i="7"/>
  <c r="U22" i="7"/>
  <c r="AJ5" i="7"/>
  <c r="AI5" i="7"/>
  <c r="AH5" i="7"/>
  <c r="AG5" i="7"/>
  <c r="AJ4" i="7"/>
  <c r="AI4" i="7"/>
  <c r="AH4" i="7"/>
  <c r="AG4" i="7"/>
  <c r="F17" i="6"/>
  <c r="W32" i="7" l="1"/>
  <c r="W36" i="7" s="1"/>
  <c r="CG24" i="7" s="1"/>
  <c r="U32" i="7"/>
  <c r="V32" i="7"/>
  <c r="V36" i="7" s="1"/>
  <c r="CK4" i="7" s="1"/>
  <c r="X32" i="7"/>
  <c r="X36" i="7" s="1"/>
  <c r="CK24" i="7" s="1"/>
  <c r="AO83" i="7"/>
  <c r="BG83" i="7" s="1"/>
  <c r="AO17" i="7"/>
  <c r="BG17" i="7" s="1"/>
  <c r="AO5" i="7"/>
  <c r="BG5" i="7" s="1"/>
  <c r="AO23" i="7"/>
  <c r="BG23" i="7" s="1"/>
  <c r="AO72" i="7"/>
  <c r="BG72" i="7" s="1"/>
  <c r="AO47" i="7"/>
  <c r="BG47" i="7" s="1"/>
  <c r="AO6" i="7"/>
  <c r="BG6" i="7" s="1"/>
  <c r="AO42" i="7"/>
  <c r="BG42" i="7" s="1"/>
  <c r="AO26" i="7"/>
  <c r="BG26" i="7" s="1"/>
  <c r="AO18" i="7"/>
  <c r="BG18" i="7" s="1"/>
  <c r="AO7" i="7"/>
  <c r="BG7" i="7" s="1"/>
  <c r="AO99" i="7"/>
  <c r="BG99" i="7" s="1"/>
  <c r="AO71" i="7"/>
  <c r="BG71" i="7" s="1"/>
  <c r="AO45" i="7"/>
  <c r="BG45" i="7" s="1"/>
  <c r="AO8" i="7"/>
  <c r="BG8" i="7" s="1"/>
  <c r="AO66" i="7"/>
  <c r="BG66" i="7" s="1"/>
  <c r="AO52" i="7"/>
  <c r="BG52" i="7" s="1"/>
  <c r="AO19" i="7"/>
  <c r="BG19" i="7" s="1"/>
  <c r="AO9" i="7"/>
  <c r="BG9" i="7" s="1"/>
  <c r="AO24" i="7"/>
  <c r="BG24" i="7" s="1"/>
  <c r="AO70" i="7"/>
  <c r="BG70" i="7" s="1"/>
  <c r="AO62" i="7"/>
  <c r="BG62" i="7" s="1"/>
  <c r="AO10" i="7"/>
  <c r="BG10" i="7" s="1"/>
  <c r="AO43" i="7"/>
  <c r="BG43" i="7" s="1"/>
  <c r="AO61" i="7"/>
  <c r="BG61" i="7" s="1"/>
  <c r="AO63" i="7"/>
  <c r="BG63" i="7" s="1"/>
  <c r="AO11" i="7"/>
  <c r="BG11" i="7" s="1"/>
  <c r="AO4" i="7"/>
  <c r="BG4" i="7" s="1"/>
  <c r="AO69" i="7"/>
  <c r="BG69" i="7" s="1"/>
  <c r="AO20" i="7"/>
  <c r="BG20" i="7" s="1"/>
  <c r="AO12" i="7"/>
  <c r="BG12" i="7" s="1"/>
  <c r="AO54" i="7"/>
  <c r="BG54" i="7" s="1"/>
  <c r="AO53" i="7"/>
  <c r="BG53" i="7" s="1"/>
  <c r="AO65" i="7"/>
  <c r="BG65" i="7" s="1"/>
  <c r="AO13" i="7"/>
  <c r="BG13" i="7" s="1"/>
  <c r="AO28" i="7"/>
  <c r="BG28" i="7" s="1"/>
  <c r="AO68" i="7"/>
  <c r="BG68" i="7" s="1"/>
  <c r="AO21" i="7"/>
  <c r="BG21" i="7" s="1"/>
  <c r="AO14" i="7"/>
  <c r="BG14" i="7" s="1"/>
  <c r="AO44" i="7"/>
  <c r="BG44" i="7" s="1"/>
  <c r="AO25" i="7"/>
  <c r="BG25" i="7" s="1"/>
  <c r="AO89" i="7"/>
  <c r="BG89" i="7" s="1"/>
  <c r="AO15" i="7"/>
  <c r="BG15" i="7" s="1"/>
  <c r="AO27" i="7"/>
  <c r="BG27" i="7" s="1"/>
  <c r="AO67" i="7"/>
  <c r="BG67" i="7" s="1"/>
  <c r="AO22" i="7"/>
  <c r="BG22" i="7" s="1"/>
  <c r="AO16" i="7"/>
  <c r="BG16" i="7" s="1"/>
  <c r="AO46" i="7"/>
  <c r="BG46" i="7" s="1"/>
  <c r="AO64" i="7"/>
  <c r="BG64" i="7" s="1"/>
  <c r="AO91" i="7"/>
  <c r="BG91" i="7" s="1"/>
  <c r="AO29" i="7"/>
  <c r="BG29" i="7" s="1"/>
  <c r="AO92" i="7"/>
  <c r="BG92" i="7" s="1"/>
  <c r="AO30" i="7"/>
  <c r="BG30" i="7" s="1"/>
  <c r="AO51" i="7"/>
  <c r="BG51" i="7" s="1"/>
  <c r="AO60" i="7"/>
  <c r="BG60" i="7" s="1"/>
  <c r="AO31" i="7"/>
  <c r="BG31" i="7" s="1"/>
  <c r="AO93" i="7"/>
  <c r="BG93" i="7" s="1"/>
  <c r="AO32" i="7"/>
  <c r="BG32" i="7" s="1"/>
  <c r="AO59" i="7"/>
  <c r="BG59" i="7" s="1"/>
  <c r="AO33" i="7"/>
  <c r="BG33" i="7" s="1"/>
  <c r="AO94" i="7"/>
  <c r="BG94" i="7" s="1"/>
  <c r="AO34" i="7"/>
  <c r="BG34" i="7" s="1"/>
  <c r="AO50" i="7"/>
  <c r="BG50" i="7" s="1"/>
  <c r="AO58" i="7"/>
  <c r="BG58" i="7" s="1"/>
  <c r="AO35" i="7"/>
  <c r="BG35" i="7" s="1"/>
  <c r="AO95" i="7"/>
  <c r="BG95" i="7" s="1"/>
  <c r="AO36" i="7"/>
  <c r="BG36" i="7" s="1"/>
  <c r="AO57" i="7"/>
  <c r="BG57" i="7" s="1"/>
  <c r="AO37" i="7"/>
  <c r="BG37" i="7" s="1"/>
  <c r="AO96" i="7"/>
  <c r="BG96" i="7" s="1"/>
  <c r="AO38" i="7"/>
  <c r="BG38" i="7" s="1"/>
  <c r="AO49" i="7"/>
  <c r="BG49" i="7" s="1"/>
  <c r="AO56" i="7"/>
  <c r="BG56" i="7" s="1"/>
  <c r="AO39" i="7"/>
  <c r="BG39" i="7" s="1"/>
  <c r="AO97" i="7"/>
  <c r="BG97" i="7" s="1"/>
  <c r="AO40" i="7"/>
  <c r="BG40" i="7" s="1"/>
  <c r="AO82" i="7"/>
  <c r="BG82" i="7" s="1"/>
  <c r="AO98" i="7"/>
  <c r="BG98" i="7" s="1"/>
  <c r="AO41" i="7"/>
  <c r="BG41" i="7" s="1"/>
  <c r="AO48" i="7"/>
  <c r="BG48" i="7" s="1"/>
  <c r="AO55" i="7"/>
  <c r="BG55" i="7" s="1"/>
  <c r="AO73" i="7"/>
  <c r="BG73" i="7" s="1"/>
  <c r="AO74" i="7"/>
  <c r="BG74" i="7" s="1"/>
  <c r="AO75" i="7"/>
  <c r="BG75" i="7" s="1"/>
  <c r="AO76" i="7"/>
  <c r="BG76" i="7" s="1"/>
  <c r="AO77" i="7"/>
  <c r="BG77" i="7" s="1"/>
  <c r="AO78" i="7"/>
  <c r="BG78" i="7" s="1"/>
  <c r="AO79" i="7"/>
  <c r="BG79" i="7" s="1"/>
  <c r="AO80" i="7"/>
  <c r="BG80" i="7" s="1"/>
  <c r="AO81" i="7"/>
  <c r="BG81" i="7" s="1"/>
  <c r="AO84" i="7"/>
  <c r="BG84" i="7" s="1"/>
  <c r="AO85" i="7"/>
  <c r="BG85" i="7" s="1"/>
  <c r="AO86" i="7"/>
  <c r="BG86" i="7" s="1"/>
  <c r="AO87" i="7"/>
  <c r="BG87" i="7" s="1"/>
  <c r="AO88" i="7"/>
  <c r="BG88" i="7" s="1"/>
  <c r="AO90" i="7"/>
  <c r="BG90" i="7" s="1"/>
  <c r="AN73" i="7"/>
  <c r="BF73" i="7" s="1"/>
  <c r="AN29" i="7"/>
  <c r="BF29" i="7" s="1"/>
  <c r="AN5" i="7"/>
  <c r="BF5" i="7" s="1"/>
  <c r="AN42" i="7"/>
  <c r="BF42" i="7" s="1"/>
  <c r="AN61" i="7"/>
  <c r="BF61" i="7" s="1"/>
  <c r="AN30" i="7"/>
  <c r="BF30" i="7" s="1"/>
  <c r="AN6" i="7"/>
  <c r="BF6" i="7" s="1"/>
  <c r="AN72" i="7"/>
  <c r="BF72" i="7" s="1"/>
  <c r="AN7" i="7"/>
  <c r="BF7" i="7" s="1"/>
  <c r="AN31" i="7"/>
  <c r="BF31" i="7" s="1"/>
  <c r="AN8" i="7"/>
  <c r="BF8" i="7" s="1"/>
  <c r="AN55" i="7"/>
  <c r="BF55" i="7" s="1"/>
  <c r="AN60" i="7"/>
  <c r="BF60" i="7" s="1"/>
  <c r="AN32" i="7"/>
  <c r="BF32" i="7" s="1"/>
  <c r="AN71" i="7"/>
  <c r="BF71" i="7" s="1"/>
  <c r="AN51" i="7"/>
  <c r="BF51" i="7" s="1"/>
  <c r="AN9" i="7"/>
  <c r="BF9" i="7" s="1"/>
  <c r="AN33" i="7"/>
  <c r="BF33" i="7" s="1"/>
  <c r="AN43" i="7"/>
  <c r="BF43" i="7" s="1"/>
  <c r="AN10" i="7"/>
  <c r="BF10" i="7" s="1"/>
  <c r="AN59" i="7"/>
  <c r="BF59" i="7" s="1"/>
  <c r="AN34" i="7"/>
  <c r="BF34" i="7" s="1"/>
  <c r="AN11" i="7"/>
  <c r="BF11" i="7" s="1"/>
  <c r="AN12" i="7"/>
  <c r="BF12" i="7" s="1"/>
  <c r="AN69" i="7"/>
  <c r="BF69" i="7" s="1"/>
  <c r="AN35" i="7"/>
  <c r="BF35" i="7" s="1"/>
  <c r="AN13" i="7"/>
  <c r="BF13" i="7" s="1"/>
  <c r="AN44" i="7"/>
  <c r="BF44" i="7" s="1"/>
  <c r="AN58" i="7"/>
  <c r="BF58" i="7" s="1"/>
  <c r="AN36" i="7"/>
  <c r="BF36" i="7" s="1"/>
  <c r="AN14" i="7"/>
  <c r="BF14" i="7" s="1"/>
  <c r="AN50" i="7"/>
  <c r="BF50" i="7" s="1"/>
  <c r="AN68" i="7"/>
  <c r="BF68" i="7" s="1"/>
  <c r="AN37" i="7"/>
  <c r="BF37" i="7" s="1"/>
  <c r="AN15" i="7"/>
  <c r="BF15" i="7" s="1"/>
  <c r="AN48" i="7"/>
  <c r="BF48" i="7" s="1"/>
  <c r="AN57" i="7"/>
  <c r="BF57" i="7" s="1"/>
  <c r="AN38" i="7"/>
  <c r="BF38" i="7" s="1"/>
  <c r="AN16" i="7"/>
  <c r="BF16" i="7" s="1"/>
  <c r="AN54" i="7"/>
  <c r="BF54" i="7" s="1"/>
  <c r="AN70" i="7"/>
  <c r="BF70" i="7" s="1"/>
  <c r="AN39" i="7"/>
  <c r="BF39" i="7" s="1"/>
  <c r="AN17" i="7"/>
  <c r="BF17" i="7" s="1"/>
  <c r="AN45" i="7"/>
  <c r="BF45" i="7" s="1"/>
  <c r="AN56" i="7"/>
  <c r="BF56" i="7" s="1"/>
  <c r="AN40" i="7"/>
  <c r="BF40" i="7" s="1"/>
  <c r="AN67" i="7"/>
  <c r="BF67" i="7" s="1"/>
  <c r="AN18" i="7"/>
  <c r="BF18" i="7" s="1"/>
  <c r="AN19" i="7"/>
  <c r="BF19" i="7" s="1"/>
  <c r="AN41" i="7"/>
  <c r="BF41" i="7" s="1"/>
  <c r="AN47" i="7"/>
  <c r="BF47" i="7" s="1"/>
  <c r="AN66" i="7"/>
  <c r="BF66" i="7" s="1"/>
  <c r="AN20" i="7"/>
  <c r="BF20" i="7" s="1"/>
  <c r="AN21" i="7"/>
  <c r="BF21" i="7" s="1"/>
  <c r="AN74" i="7"/>
  <c r="BF74" i="7" s="1"/>
  <c r="AN46" i="7"/>
  <c r="BF46" i="7" s="1"/>
  <c r="AN75" i="7"/>
  <c r="BF75" i="7" s="1"/>
  <c r="AN65" i="7"/>
  <c r="BF65" i="7" s="1"/>
  <c r="AN76" i="7"/>
  <c r="BF76" i="7" s="1"/>
  <c r="AN22" i="7"/>
  <c r="BF22" i="7" s="1"/>
  <c r="AN77" i="7"/>
  <c r="BF77" i="7" s="1"/>
  <c r="AN23" i="7"/>
  <c r="BF23" i="7" s="1"/>
  <c r="AN78" i="7"/>
  <c r="BF78" i="7" s="1"/>
  <c r="AN64" i="7"/>
  <c r="BF64" i="7" s="1"/>
  <c r="AN79" i="7"/>
  <c r="BF79" i="7" s="1"/>
  <c r="AN24" i="7"/>
  <c r="BF24" i="7" s="1"/>
  <c r="AN80" i="7"/>
  <c r="BF80" i="7" s="1"/>
  <c r="AN53" i="7"/>
  <c r="BF53" i="7" s="1"/>
  <c r="AN81" i="7"/>
  <c r="BF81" i="7" s="1"/>
  <c r="AN25" i="7"/>
  <c r="BF25" i="7" s="1"/>
  <c r="AN82" i="7"/>
  <c r="BF82" i="7" s="1"/>
  <c r="AN49" i="7"/>
  <c r="BF49" i="7" s="1"/>
  <c r="AN83" i="7"/>
  <c r="BF83" i="7" s="1"/>
  <c r="AN84" i="7"/>
  <c r="BF84" i="7" s="1"/>
  <c r="AN63" i="7"/>
  <c r="BF63" i="7" s="1"/>
  <c r="AN85" i="7"/>
  <c r="BF85" i="7" s="1"/>
  <c r="AN26" i="7"/>
  <c r="BF26" i="7" s="1"/>
  <c r="AN86" i="7"/>
  <c r="BF86" i="7" s="1"/>
  <c r="AN27" i="7"/>
  <c r="BF27" i="7" s="1"/>
  <c r="AN87" i="7"/>
  <c r="BF87" i="7" s="1"/>
  <c r="AN62" i="7"/>
  <c r="BF62" i="7" s="1"/>
  <c r="AN88" i="7"/>
  <c r="BF88" i="7" s="1"/>
  <c r="AN28" i="7"/>
  <c r="BF28" i="7" s="1"/>
  <c r="AN89" i="7"/>
  <c r="BF89" i="7" s="1"/>
  <c r="AN90" i="7"/>
  <c r="BF90" i="7" s="1"/>
  <c r="AN52" i="7"/>
  <c r="BF52" i="7" s="1"/>
  <c r="AN91" i="7"/>
  <c r="BF91" i="7" s="1"/>
  <c r="AN92" i="7"/>
  <c r="BF92" i="7" s="1"/>
  <c r="AN93" i="7"/>
  <c r="BF93" i="7" s="1"/>
  <c r="AN94" i="7"/>
  <c r="BF94" i="7" s="1"/>
  <c r="AN95" i="7"/>
  <c r="BF95" i="7" s="1"/>
  <c r="AN96" i="7"/>
  <c r="BF96" i="7" s="1"/>
  <c r="AN97" i="7"/>
  <c r="BF97" i="7" s="1"/>
  <c r="AN98" i="7"/>
  <c r="BF98" i="7" s="1"/>
  <c r="AN99" i="7"/>
  <c r="BF99" i="7" s="1"/>
  <c r="AN4" i="7"/>
  <c r="BF4" i="7" s="1"/>
  <c r="AP59" i="7"/>
  <c r="BH59" i="7" s="1"/>
  <c r="AP48" i="7"/>
  <c r="BH48" i="7" s="1"/>
  <c r="AP49" i="7"/>
  <c r="BH49" i="7" s="1"/>
  <c r="AP50" i="7"/>
  <c r="BH50" i="7" s="1"/>
  <c r="AP51" i="7"/>
  <c r="BH51" i="7" s="1"/>
  <c r="AP52" i="7"/>
  <c r="BH52" i="7" s="1"/>
  <c r="AP53" i="7"/>
  <c r="BH53" i="7" s="1"/>
  <c r="AP54" i="7"/>
  <c r="BH54" i="7" s="1"/>
  <c r="AP55" i="7"/>
  <c r="BH55" i="7" s="1"/>
  <c r="AP56" i="7"/>
  <c r="BH56" i="7" s="1"/>
  <c r="AP57" i="7"/>
  <c r="BH57" i="7" s="1"/>
  <c r="AP58" i="7"/>
  <c r="BH58" i="7" s="1"/>
  <c r="AP60" i="7"/>
  <c r="BH60" i="7" s="1"/>
  <c r="AP61" i="7"/>
  <c r="BH61" i="7" s="1"/>
  <c r="AP62" i="7"/>
  <c r="BH62" i="7" s="1"/>
  <c r="AP63" i="7"/>
  <c r="BH63" i="7" s="1"/>
  <c r="AP64" i="7"/>
  <c r="BH64" i="7" s="1"/>
  <c r="AP65" i="7"/>
  <c r="BH65" i="7" s="1"/>
  <c r="AP66" i="7"/>
  <c r="BH66" i="7" s="1"/>
  <c r="AP67" i="7"/>
  <c r="BH67" i="7" s="1"/>
  <c r="AP68" i="7"/>
  <c r="BH68" i="7" s="1"/>
  <c r="AP69" i="7"/>
  <c r="BH69" i="7" s="1"/>
  <c r="AP70" i="7"/>
  <c r="BH70" i="7" s="1"/>
  <c r="AP71" i="7"/>
  <c r="BH71" i="7" s="1"/>
  <c r="AP72" i="7"/>
  <c r="BH72" i="7" s="1"/>
  <c r="AP5" i="7"/>
  <c r="BH5" i="7" s="1"/>
  <c r="AP73" i="7"/>
  <c r="BH73" i="7" s="1"/>
  <c r="AP6" i="7"/>
  <c r="BH6" i="7" s="1"/>
  <c r="AP7" i="7"/>
  <c r="BH7" i="7" s="1"/>
  <c r="AP74" i="7"/>
  <c r="BH74" i="7" s="1"/>
  <c r="AP8" i="7"/>
  <c r="BH8" i="7" s="1"/>
  <c r="AP9" i="7"/>
  <c r="BH9" i="7" s="1"/>
  <c r="AP75" i="7"/>
  <c r="BH75" i="7" s="1"/>
  <c r="AP10" i="7"/>
  <c r="BH10" i="7" s="1"/>
  <c r="AP11" i="7"/>
  <c r="BH11" i="7" s="1"/>
  <c r="AP76" i="7"/>
  <c r="BH76" i="7" s="1"/>
  <c r="AP12" i="7"/>
  <c r="BH12" i="7" s="1"/>
  <c r="AP13" i="7"/>
  <c r="BH13" i="7" s="1"/>
  <c r="AP77" i="7"/>
  <c r="BH77" i="7" s="1"/>
  <c r="AP14" i="7"/>
  <c r="BH14" i="7" s="1"/>
  <c r="AP15" i="7"/>
  <c r="BH15" i="7" s="1"/>
  <c r="AP78" i="7"/>
  <c r="BH78" i="7" s="1"/>
  <c r="AP16" i="7"/>
  <c r="BH16" i="7" s="1"/>
  <c r="AP17" i="7"/>
  <c r="BH17" i="7" s="1"/>
  <c r="AP79" i="7"/>
  <c r="BH79" i="7" s="1"/>
  <c r="AP18" i="7"/>
  <c r="BH18" i="7" s="1"/>
  <c r="AP19" i="7"/>
  <c r="BH19" i="7" s="1"/>
  <c r="AP80" i="7"/>
  <c r="BH80" i="7" s="1"/>
  <c r="AP20" i="7"/>
  <c r="BH20" i="7" s="1"/>
  <c r="AP21" i="7"/>
  <c r="BH21" i="7" s="1"/>
  <c r="AP81" i="7"/>
  <c r="BH81" i="7" s="1"/>
  <c r="AP22" i="7"/>
  <c r="BH22" i="7" s="1"/>
  <c r="AP23" i="7"/>
  <c r="BH23" i="7" s="1"/>
  <c r="AP82" i="7"/>
  <c r="BH82" i="7" s="1"/>
  <c r="AP24" i="7"/>
  <c r="BH24" i="7" s="1"/>
  <c r="AP83" i="7"/>
  <c r="BH83" i="7" s="1"/>
  <c r="AP25" i="7"/>
  <c r="BH25" i="7" s="1"/>
  <c r="AP26" i="7"/>
  <c r="BH26" i="7" s="1"/>
  <c r="AP84" i="7"/>
  <c r="BH84" i="7" s="1"/>
  <c r="AP27" i="7"/>
  <c r="BH27" i="7" s="1"/>
  <c r="AP28" i="7"/>
  <c r="BH28" i="7" s="1"/>
  <c r="AP85" i="7"/>
  <c r="BH85" i="7" s="1"/>
  <c r="AP29" i="7"/>
  <c r="BH29" i="7" s="1"/>
  <c r="AP30" i="7"/>
  <c r="BH30" i="7" s="1"/>
  <c r="AP86" i="7"/>
  <c r="BH86" i="7" s="1"/>
  <c r="AP31" i="7"/>
  <c r="BH31" i="7" s="1"/>
  <c r="AP32" i="7"/>
  <c r="BH32" i="7" s="1"/>
  <c r="AP87" i="7"/>
  <c r="BH87" i="7" s="1"/>
  <c r="AP33" i="7"/>
  <c r="BH33" i="7" s="1"/>
  <c r="AP34" i="7"/>
  <c r="BH34" i="7" s="1"/>
  <c r="AP88" i="7"/>
  <c r="BH88" i="7" s="1"/>
  <c r="AP35" i="7"/>
  <c r="BH35" i="7" s="1"/>
  <c r="AP89" i="7"/>
  <c r="BH89" i="7" s="1"/>
  <c r="AP36" i="7"/>
  <c r="BH36" i="7" s="1"/>
  <c r="AP37" i="7"/>
  <c r="BH37" i="7" s="1"/>
  <c r="AP90" i="7"/>
  <c r="BH90" i="7" s="1"/>
  <c r="AP38" i="7"/>
  <c r="BH38" i="7" s="1"/>
  <c r="AP91" i="7"/>
  <c r="BH91" i="7" s="1"/>
  <c r="AP39" i="7"/>
  <c r="BH39" i="7" s="1"/>
  <c r="AP92" i="7"/>
  <c r="BH92" i="7" s="1"/>
  <c r="AP40" i="7"/>
  <c r="BH40" i="7" s="1"/>
  <c r="AP93" i="7"/>
  <c r="BH93" i="7" s="1"/>
  <c r="AP47" i="7"/>
  <c r="BH47" i="7" s="1"/>
  <c r="AP94" i="7"/>
  <c r="BH94" i="7" s="1"/>
  <c r="AP41" i="7"/>
  <c r="BH41" i="7" s="1"/>
  <c r="AP95" i="7"/>
  <c r="BH95" i="7" s="1"/>
  <c r="AP42" i="7"/>
  <c r="BH42" i="7" s="1"/>
  <c r="AP96" i="7"/>
  <c r="BH96" i="7" s="1"/>
  <c r="AP43" i="7"/>
  <c r="BH43" i="7" s="1"/>
  <c r="AP97" i="7"/>
  <c r="BH97" i="7" s="1"/>
  <c r="AP44" i="7"/>
  <c r="BH44" i="7" s="1"/>
  <c r="AP98" i="7"/>
  <c r="BH98" i="7" s="1"/>
  <c r="AP45" i="7"/>
  <c r="BH45" i="7" s="1"/>
  <c r="AP99" i="7"/>
  <c r="BH99" i="7" s="1"/>
  <c r="AP46" i="7"/>
  <c r="BH46" i="7" s="1"/>
  <c r="AP4" i="7"/>
  <c r="BH4" i="7" s="1"/>
  <c r="AM46" i="7"/>
  <c r="BE46" i="7" s="1"/>
  <c r="AM72" i="7"/>
  <c r="BE72" i="7" s="1"/>
  <c r="AM7" i="7"/>
  <c r="BE7" i="7" s="1"/>
  <c r="AM6" i="7"/>
  <c r="BE6" i="7" s="1"/>
  <c r="AM98" i="7"/>
  <c r="BE98" i="7" s="1"/>
  <c r="AM73" i="7"/>
  <c r="BE73" i="7" s="1"/>
  <c r="AM5" i="7"/>
  <c r="BE5" i="7" s="1"/>
  <c r="AM54" i="7"/>
  <c r="BE54" i="7" s="1"/>
  <c r="AM45" i="7"/>
  <c r="BE45" i="7" s="1"/>
  <c r="AM74" i="7"/>
  <c r="BE74" i="7" s="1"/>
  <c r="AM44" i="7"/>
  <c r="BE44" i="7" s="1"/>
  <c r="AM97" i="7"/>
  <c r="BE97" i="7" s="1"/>
  <c r="AM55" i="7"/>
  <c r="BE55" i="7" s="1"/>
  <c r="AM75" i="7"/>
  <c r="BE75" i="7" s="1"/>
  <c r="AM43" i="7"/>
  <c r="BE43" i="7" s="1"/>
  <c r="AM42" i="7"/>
  <c r="BE42" i="7" s="1"/>
  <c r="AM4" i="7"/>
  <c r="BE4" i="7" s="1"/>
  <c r="AM76" i="7"/>
  <c r="BE76" i="7" s="1"/>
  <c r="AM56" i="7"/>
  <c r="BE56" i="7" s="1"/>
  <c r="AM40" i="7"/>
  <c r="BE40" i="7" s="1"/>
  <c r="AM39" i="7"/>
  <c r="BE39" i="7" s="1"/>
  <c r="AM77" i="7"/>
  <c r="BE77" i="7" s="1"/>
  <c r="AM50" i="7"/>
  <c r="BE50" i="7" s="1"/>
  <c r="AM57" i="7"/>
  <c r="BE57" i="7" s="1"/>
  <c r="AM38" i="7"/>
  <c r="BE38" i="7" s="1"/>
  <c r="AM78" i="7"/>
  <c r="BE78" i="7" s="1"/>
  <c r="AM37" i="7"/>
  <c r="BE37" i="7" s="1"/>
  <c r="AM96" i="7"/>
  <c r="BE96" i="7" s="1"/>
  <c r="AM58" i="7"/>
  <c r="BE58" i="7" s="1"/>
  <c r="AM79" i="7"/>
  <c r="BE79" i="7" s="1"/>
  <c r="AM36" i="7"/>
  <c r="BE36" i="7" s="1"/>
  <c r="AM35" i="7"/>
  <c r="BE35" i="7" s="1"/>
  <c r="AM95" i="7"/>
  <c r="BE95" i="7" s="1"/>
  <c r="AM80" i="7"/>
  <c r="BE80" i="7" s="1"/>
  <c r="AM59" i="7"/>
  <c r="BE59" i="7" s="1"/>
  <c r="AM34" i="7"/>
  <c r="BE34" i="7" s="1"/>
  <c r="AM33" i="7"/>
  <c r="BE33" i="7" s="1"/>
  <c r="AM81" i="7"/>
  <c r="BE81" i="7" s="1"/>
  <c r="AM41" i="7"/>
  <c r="BE41" i="7" s="1"/>
  <c r="AM60" i="7"/>
  <c r="BE60" i="7" s="1"/>
  <c r="AM32" i="7"/>
  <c r="BE32" i="7" s="1"/>
  <c r="AM82" i="7"/>
  <c r="BE82" i="7" s="1"/>
  <c r="AM31" i="7"/>
  <c r="BE31" i="7" s="1"/>
  <c r="AM99" i="7"/>
  <c r="BE99" i="7" s="1"/>
  <c r="AM61" i="7"/>
  <c r="BE61" i="7" s="1"/>
  <c r="AM83" i="7"/>
  <c r="BE83" i="7" s="1"/>
  <c r="AM30" i="7"/>
  <c r="BE30" i="7" s="1"/>
  <c r="AM17" i="7"/>
  <c r="BE17" i="7" s="1"/>
  <c r="AM29" i="7"/>
  <c r="BE29" i="7" s="1"/>
  <c r="AM84" i="7"/>
  <c r="BE84" i="7" s="1"/>
  <c r="AM51" i="7"/>
  <c r="BE51" i="7" s="1"/>
  <c r="AM62" i="7"/>
  <c r="BE62" i="7" s="1"/>
  <c r="AM28" i="7"/>
  <c r="BE28" i="7" s="1"/>
  <c r="AM85" i="7"/>
  <c r="BE85" i="7" s="1"/>
  <c r="AM27" i="7"/>
  <c r="BE27" i="7" s="1"/>
  <c r="AM94" i="7"/>
  <c r="BE94" i="7" s="1"/>
  <c r="AM63" i="7"/>
  <c r="BE63" i="7" s="1"/>
  <c r="AM86" i="7"/>
  <c r="BE86" i="7" s="1"/>
  <c r="AM26" i="7"/>
  <c r="BE26" i="7" s="1"/>
  <c r="AM25" i="7"/>
  <c r="BE25" i="7" s="1"/>
  <c r="AM93" i="7"/>
  <c r="BE93" i="7" s="1"/>
  <c r="AM87" i="7"/>
  <c r="BE87" i="7" s="1"/>
  <c r="AM64" i="7"/>
  <c r="BE64" i="7" s="1"/>
  <c r="AM24" i="7"/>
  <c r="BE24" i="7" s="1"/>
  <c r="AM23" i="7"/>
  <c r="BE23" i="7" s="1"/>
  <c r="AM88" i="7"/>
  <c r="BE88" i="7" s="1"/>
  <c r="AM48" i="7"/>
  <c r="BE48" i="7" s="1"/>
  <c r="AM65" i="7"/>
  <c r="BE65" i="7" s="1"/>
  <c r="AM22" i="7"/>
  <c r="BE22" i="7" s="1"/>
  <c r="AM89" i="7"/>
  <c r="BE89" i="7" s="1"/>
  <c r="AM21" i="7"/>
  <c r="BE21" i="7" s="1"/>
  <c r="AM52" i="7"/>
  <c r="BE52" i="7" s="1"/>
  <c r="AM66" i="7"/>
  <c r="BE66" i="7" s="1"/>
  <c r="AM20" i="7"/>
  <c r="BE20" i="7" s="1"/>
  <c r="AM19" i="7"/>
  <c r="BE19" i="7" s="1"/>
  <c r="AM91" i="7"/>
  <c r="BE91" i="7" s="1"/>
  <c r="AM92" i="7"/>
  <c r="BE92" i="7" s="1"/>
  <c r="AM67" i="7"/>
  <c r="BE67" i="7" s="1"/>
  <c r="AM18" i="7"/>
  <c r="BE18" i="7" s="1"/>
  <c r="AM16" i="7"/>
  <c r="BE16" i="7" s="1"/>
  <c r="AM90" i="7"/>
  <c r="BE90" i="7" s="1"/>
  <c r="AM68" i="7"/>
  <c r="BE68" i="7" s="1"/>
  <c r="AM15" i="7"/>
  <c r="BE15" i="7" s="1"/>
  <c r="AM14" i="7"/>
  <c r="BE14" i="7" s="1"/>
  <c r="AM49" i="7"/>
  <c r="BE49" i="7" s="1"/>
  <c r="AM69" i="7"/>
  <c r="BE69" i="7" s="1"/>
  <c r="AM13" i="7"/>
  <c r="BE13" i="7" s="1"/>
  <c r="AM12" i="7"/>
  <c r="BE12" i="7" s="1"/>
  <c r="AM53" i="7"/>
  <c r="BE53" i="7" s="1"/>
  <c r="AM70" i="7"/>
  <c r="BE70" i="7" s="1"/>
  <c r="AM11" i="7"/>
  <c r="BE11" i="7" s="1"/>
  <c r="AM10" i="7"/>
  <c r="BE10" i="7" s="1"/>
  <c r="AM47" i="7"/>
  <c r="BE47" i="7" s="1"/>
  <c r="AM71" i="7"/>
  <c r="BE71" i="7" s="1"/>
  <c r="AM9" i="7"/>
  <c r="BE9" i="7" s="1"/>
  <c r="AM8" i="7"/>
  <c r="BE8" i="7" s="1"/>
  <c r="CB9" i="7" l="1"/>
  <c r="BX9" i="7"/>
  <c r="BX8" i="7"/>
  <c r="CB8" i="7"/>
  <c r="BX7" i="7"/>
  <c r="CB7" i="7"/>
  <c r="BX6" i="7"/>
  <c r="CB6" i="7"/>
  <c r="BX5" i="7"/>
  <c r="CB5" i="7"/>
  <c r="BX20" i="7"/>
  <c r="CB20" i="7"/>
  <c r="BX19" i="7"/>
  <c r="CB19" i="7"/>
  <c r="BX10" i="7"/>
  <c r="CB10" i="7"/>
  <c r="CB11" i="7"/>
  <c r="BX11" i="7"/>
  <c r="BX12" i="7"/>
  <c r="CB12" i="7"/>
  <c r="BX13" i="7"/>
  <c r="CB13" i="7"/>
  <c r="BX14" i="7"/>
  <c r="CB14" i="7"/>
  <c r="CB15" i="7"/>
  <c r="BX15" i="7"/>
  <c r="BX16" i="7"/>
  <c r="CB16" i="7"/>
  <c r="CB17" i="7"/>
  <c r="BX17" i="7"/>
  <c r="CB18" i="7"/>
  <c r="BX18" i="7"/>
  <c r="CA10" i="7"/>
  <c r="BW10" i="7"/>
  <c r="BW9" i="7"/>
  <c r="CA9" i="7"/>
  <c r="BW8" i="7"/>
  <c r="CA8" i="7"/>
  <c r="CA6" i="7"/>
  <c r="BW6" i="7"/>
  <c r="BW5" i="7"/>
  <c r="CA5" i="7"/>
  <c r="BW7" i="7"/>
  <c r="CA7" i="7"/>
  <c r="BW20" i="7"/>
  <c r="CA20" i="7"/>
  <c r="BW11" i="7"/>
  <c r="CA11" i="7"/>
  <c r="BW12" i="7"/>
  <c r="CA12" i="7"/>
  <c r="CA13" i="7"/>
  <c r="BW13" i="7"/>
  <c r="BW14" i="7"/>
  <c r="CA14" i="7"/>
  <c r="CA15" i="7"/>
  <c r="BW15" i="7"/>
  <c r="BW16" i="7"/>
  <c r="CA16" i="7"/>
  <c r="BW17" i="7"/>
  <c r="CA17" i="7"/>
  <c r="CA18" i="7"/>
  <c r="BW18" i="7"/>
  <c r="CA19" i="7"/>
  <c r="BW19" i="7"/>
  <c r="CC20" i="7"/>
  <c r="BY20" i="7"/>
  <c r="CC5" i="7"/>
  <c r="BY5" i="7"/>
  <c r="BY6" i="7"/>
  <c r="CC6" i="7"/>
  <c r="BY7" i="7"/>
  <c r="CC7" i="7"/>
  <c r="CC8" i="7"/>
  <c r="BY8" i="7"/>
  <c r="CC9" i="7"/>
  <c r="BY9" i="7"/>
  <c r="CC10" i="7"/>
  <c r="BY10" i="7"/>
  <c r="CC11" i="7"/>
  <c r="BY11" i="7"/>
  <c r="CC12" i="7"/>
  <c r="BY12" i="7"/>
  <c r="CC13" i="7"/>
  <c r="BY13" i="7"/>
  <c r="CC14" i="7"/>
  <c r="BY14" i="7"/>
  <c r="BY15" i="7"/>
  <c r="CC15" i="7"/>
  <c r="CC16" i="7"/>
  <c r="BY16" i="7"/>
  <c r="CC17" i="7"/>
  <c r="BY17" i="7"/>
  <c r="BY18" i="7"/>
  <c r="CC18" i="7"/>
  <c r="CC19" i="7"/>
  <c r="BY19" i="7"/>
  <c r="BZ9" i="7"/>
  <c r="BV9" i="7"/>
  <c r="BZ10" i="7"/>
  <c r="BV10" i="7"/>
  <c r="BZ11" i="7"/>
  <c r="BV11" i="7"/>
  <c r="BV12" i="7"/>
  <c r="BZ12" i="7"/>
  <c r="BV13" i="7"/>
  <c r="BZ13" i="7"/>
  <c r="BV14" i="7"/>
  <c r="BZ14" i="7"/>
  <c r="BV15" i="7"/>
  <c r="BZ15" i="7"/>
  <c r="BZ16" i="7"/>
  <c r="BV16" i="7"/>
  <c r="BZ17" i="7"/>
  <c r="BV17" i="7"/>
  <c r="BZ18" i="7"/>
  <c r="BV18" i="7"/>
  <c r="BV19" i="7"/>
  <c r="BZ19" i="7"/>
  <c r="BV20" i="7"/>
  <c r="BZ20" i="7"/>
  <c r="BZ5" i="7"/>
  <c r="BV5" i="7"/>
  <c r="BV6" i="7"/>
  <c r="BZ6" i="7"/>
  <c r="BV7" i="7"/>
  <c r="BZ7" i="7"/>
  <c r="BV8" i="7"/>
  <c r="BZ8" i="7"/>
  <c r="U35" i="7"/>
  <c r="U36" i="7"/>
  <c r="CG4" i="7" s="1"/>
  <c r="BO5" i="7"/>
  <c r="BO23" i="7" s="1"/>
  <c r="CG7" i="7" s="1"/>
  <c r="BK5" i="7"/>
  <c r="BK23" i="7" s="1"/>
  <c r="CF7" i="7" s="1"/>
  <c r="CP6" i="7" s="1"/>
  <c r="X35" i="7"/>
  <c r="CJ24" i="7" s="1"/>
  <c r="X38" i="7"/>
  <c r="CM24" i="7" s="1"/>
  <c r="X37" i="7"/>
  <c r="CL24" i="7" s="1"/>
  <c r="W37" i="7"/>
  <c r="CH24" i="7" s="1"/>
  <c r="W35" i="7"/>
  <c r="CF24" i="7" s="1"/>
  <c r="W38" i="7"/>
  <c r="CI24" i="7" s="1"/>
  <c r="V35" i="7"/>
  <c r="CJ4" i="7" s="1"/>
  <c r="U37" i="7"/>
  <c r="CH4" i="7" s="1"/>
  <c r="U38" i="7"/>
  <c r="CI4" i="7" s="1"/>
  <c r="BR5" i="7"/>
  <c r="BN5" i="7"/>
  <c r="BN18" i="7"/>
  <c r="BR18" i="7"/>
  <c r="BR6" i="7"/>
  <c r="BN6" i="7"/>
  <c r="BN20" i="7"/>
  <c r="BR20" i="7"/>
  <c r="BN19" i="7"/>
  <c r="BR19" i="7"/>
  <c r="BN17" i="7"/>
  <c r="BR17" i="7"/>
  <c r="BR16" i="7"/>
  <c r="BN16" i="7"/>
  <c r="BN15" i="7"/>
  <c r="BR15" i="7"/>
  <c r="BR14" i="7"/>
  <c r="BN14" i="7"/>
  <c r="BN13" i="7"/>
  <c r="BR13" i="7"/>
  <c r="BR12" i="7"/>
  <c r="BN12" i="7"/>
  <c r="BR11" i="7"/>
  <c r="BN11" i="7"/>
  <c r="BN9" i="7"/>
  <c r="BR9" i="7"/>
  <c r="BN8" i="7"/>
  <c r="BR8" i="7"/>
  <c r="BN7" i="7"/>
  <c r="BR7" i="7"/>
  <c r="BN10" i="7"/>
  <c r="BR10" i="7"/>
  <c r="BM13" i="7"/>
  <c r="BQ13" i="7"/>
  <c r="BQ16" i="7"/>
  <c r="BM16" i="7"/>
  <c r="BM17" i="7"/>
  <c r="BQ17" i="7"/>
  <c r="BM19" i="7"/>
  <c r="BQ19" i="7"/>
  <c r="BM9" i="7"/>
  <c r="BQ9" i="7"/>
  <c r="BM10" i="7"/>
  <c r="BQ10" i="7"/>
  <c r="BM20" i="7"/>
  <c r="BQ20" i="7"/>
  <c r="BM18" i="7"/>
  <c r="BQ18" i="7"/>
  <c r="BQ5" i="7"/>
  <c r="BM5" i="7"/>
  <c r="BM7" i="7"/>
  <c r="BQ7" i="7"/>
  <c r="BM8" i="7"/>
  <c r="BQ8" i="7"/>
  <c r="BM11" i="7"/>
  <c r="BQ11" i="7"/>
  <c r="BM12" i="7"/>
  <c r="BQ12" i="7"/>
  <c r="BM14" i="7"/>
  <c r="BQ14" i="7"/>
  <c r="BM15" i="7"/>
  <c r="BQ15" i="7"/>
  <c r="BM6" i="7"/>
  <c r="BQ6" i="7"/>
  <c r="BP15" i="7"/>
  <c r="BL15" i="7"/>
  <c r="BP11" i="7"/>
  <c r="BL11" i="7"/>
  <c r="BP10" i="7"/>
  <c r="BL10" i="7"/>
  <c r="BP12" i="7"/>
  <c r="BL12" i="7"/>
  <c r="BL20" i="7"/>
  <c r="BP20" i="7"/>
  <c r="BL17" i="7"/>
  <c r="BP17" i="7"/>
  <c r="BP16" i="7"/>
  <c r="BL16" i="7"/>
  <c r="BL13" i="7"/>
  <c r="BP13" i="7"/>
  <c r="BL5" i="7"/>
  <c r="BP5" i="7"/>
  <c r="BL19" i="7"/>
  <c r="BP19" i="7"/>
  <c r="BL18" i="7"/>
  <c r="BP18" i="7"/>
  <c r="BL14" i="7"/>
  <c r="BP14" i="7"/>
  <c r="BL9" i="7"/>
  <c r="BP9" i="7"/>
  <c r="BL8" i="7"/>
  <c r="BP8" i="7"/>
  <c r="BL7" i="7"/>
  <c r="BP7" i="7"/>
  <c r="BL6" i="7"/>
  <c r="BP6" i="7"/>
  <c r="BK13" i="7"/>
  <c r="BO13" i="7"/>
  <c r="BK7" i="7"/>
  <c r="BO7" i="7"/>
  <c r="BO20" i="7"/>
  <c r="BK20" i="7"/>
  <c r="BO15" i="7"/>
  <c r="BK15" i="7"/>
  <c r="BK14" i="7"/>
  <c r="BO14" i="7"/>
  <c r="BK10" i="7"/>
  <c r="BO10" i="7"/>
  <c r="BO9" i="7"/>
  <c r="BK9" i="7"/>
  <c r="BO8" i="7"/>
  <c r="BK8" i="7"/>
  <c r="BO19" i="7"/>
  <c r="BK19" i="7"/>
  <c r="BK17" i="7"/>
  <c r="BO17" i="7"/>
  <c r="BO18" i="7"/>
  <c r="BK18" i="7"/>
  <c r="BO12" i="7"/>
  <c r="BK12" i="7"/>
  <c r="BO11" i="7"/>
  <c r="BK11" i="7"/>
  <c r="BO16" i="7"/>
  <c r="BK16" i="7"/>
  <c r="BO6" i="7"/>
  <c r="BK6" i="7"/>
  <c r="BR23" i="7" l="1"/>
  <c r="CK27" i="7" s="1"/>
  <c r="CU23" i="7" s="1"/>
  <c r="BN23" i="7"/>
  <c r="CJ27" i="7" s="1"/>
  <c r="CT23" i="7" s="1"/>
  <c r="BN36" i="7"/>
  <c r="CJ40" i="7" s="1"/>
  <c r="CT36" i="7" s="1"/>
  <c r="BR36" i="7"/>
  <c r="CK40" i="7" s="1"/>
  <c r="CU36" i="7" s="1"/>
  <c r="BR24" i="7"/>
  <c r="CK28" i="7" s="1"/>
  <c r="CU24" i="7" s="1"/>
  <c r="BN24" i="7"/>
  <c r="CJ28" i="7" s="1"/>
  <c r="CT24" i="7" s="1"/>
  <c r="BN38" i="7"/>
  <c r="CJ42" i="7" s="1"/>
  <c r="CT38" i="7" s="1"/>
  <c r="BR38" i="7"/>
  <c r="CK42" i="7" s="1"/>
  <c r="CU38" i="7" s="1"/>
  <c r="BN37" i="7"/>
  <c r="CJ41" i="7" s="1"/>
  <c r="CT37" i="7" s="1"/>
  <c r="BR37" i="7"/>
  <c r="CK41" i="7" s="1"/>
  <c r="CU37" i="7" s="1"/>
  <c r="BN35" i="7"/>
  <c r="CJ39" i="7" s="1"/>
  <c r="CT35" i="7" s="1"/>
  <c r="BR35" i="7"/>
  <c r="CK39" i="7" s="1"/>
  <c r="CU35" i="7" s="1"/>
  <c r="BR34" i="7"/>
  <c r="CK38" i="7" s="1"/>
  <c r="CU34" i="7" s="1"/>
  <c r="BN34" i="7"/>
  <c r="CJ38" i="7" s="1"/>
  <c r="CT34" i="7" s="1"/>
  <c r="BN33" i="7"/>
  <c r="CJ37" i="7" s="1"/>
  <c r="CT33" i="7" s="1"/>
  <c r="BR33" i="7"/>
  <c r="CK37" i="7" s="1"/>
  <c r="CU33" i="7" s="1"/>
  <c r="BR32" i="7"/>
  <c r="CK36" i="7" s="1"/>
  <c r="CU32" i="7" s="1"/>
  <c r="BN32" i="7"/>
  <c r="CJ36" i="7" s="1"/>
  <c r="CT32" i="7" s="1"/>
  <c r="BN31" i="7"/>
  <c r="CJ35" i="7" s="1"/>
  <c r="CT31" i="7" s="1"/>
  <c r="BR31" i="7"/>
  <c r="CK35" i="7" s="1"/>
  <c r="CU31" i="7" s="1"/>
  <c r="BR30" i="7"/>
  <c r="CK34" i="7" s="1"/>
  <c r="CU30" i="7" s="1"/>
  <c r="BN30" i="7"/>
  <c r="CJ34" i="7" s="1"/>
  <c r="CT30" i="7" s="1"/>
  <c r="BR29" i="7"/>
  <c r="CK33" i="7" s="1"/>
  <c r="CU29" i="7" s="1"/>
  <c r="BN29" i="7"/>
  <c r="CJ33" i="7" s="1"/>
  <c r="CT29" i="7" s="1"/>
  <c r="BN27" i="7"/>
  <c r="CJ31" i="7" s="1"/>
  <c r="CT27" i="7" s="1"/>
  <c r="BR27" i="7"/>
  <c r="CK31" i="7" s="1"/>
  <c r="CU27" i="7" s="1"/>
  <c r="BN26" i="7"/>
  <c r="CJ30" i="7" s="1"/>
  <c r="CT26" i="7" s="1"/>
  <c r="BR26" i="7"/>
  <c r="CK30" i="7" s="1"/>
  <c r="CU26" i="7" s="1"/>
  <c r="BN25" i="7"/>
  <c r="CJ29" i="7" s="1"/>
  <c r="CT25" i="7" s="1"/>
  <c r="BR25" i="7"/>
  <c r="CK29" i="7" s="1"/>
  <c r="CU25" i="7" s="1"/>
  <c r="BN28" i="7"/>
  <c r="CJ32" i="7" s="1"/>
  <c r="CT28" i="7" s="1"/>
  <c r="BR28" i="7"/>
  <c r="CK32" i="7" s="1"/>
  <c r="CU28" i="7" s="1"/>
  <c r="BM31" i="7"/>
  <c r="CF35" i="7" s="1"/>
  <c r="CP31" i="7" s="1"/>
  <c r="BQ31" i="7"/>
  <c r="CG35" i="7" s="1"/>
  <c r="CQ31" i="7" s="1"/>
  <c r="BQ34" i="7"/>
  <c r="CG38" i="7" s="1"/>
  <c r="CQ34" i="7" s="1"/>
  <c r="BM34" i="7"/>
  <c r="CF38" i="7" s="1"/>
  <c r="CP34" i="7" s="1"/>
  <c r="BM35" i="7"/>
  <c r="CF39" i="7" s="1"/>
  <c r="CP35" i="7" s="1"/>
  <c r="BQ35" i="7"/>
  <c r="CG39" i="7" s="1"/>
  <c r="CQ35" i="7" s="1"/>
  <c r="BM37" i="7"/>
  <c r="CF41" i="7" s="1"/>
  <c r="CP37" i="7" s="1"/>
  <c r="BQ37" i="7"/>
  <c r="CG41" i="7" s="1"/>
  <c r="CQ37" i="7" s="1"/>
  <c r="BM27" i="7"/>
  <c r="CF31" i="7" s="1"/>
  <c r="CP27" i="7" s="1"/>
  <c r="BP23" i="7"/>
  <c r="CK7" i="7" s="1"/>
  <c r="CU6" i="7" s="1"/>
  <c r="BP37" i="7"/>
  <c r="CK21" i="7" s="1"/>
  <c r="CU20" i="7" s="1"/>
  <c r="BK24" i="7"/>
  <c r="CF8" i="7" s="1"/>
  <c r="CP7" i="7" s="1"/>
  <c r="BQ27" i="7"/>
  <c r="CG31" i="7" s="1"/>
  <c r="CQ27" i="7" s="1"/>
  <c r="BM28" i="7"/>
  <c r="CF32" i="7" s="1"/>
  <c r="CP28" i="7" s="1"/>
  <c r="BQ28" i="7"/>
  <c r="CG32" i="7" s="1"/>
  <c r="CQ28" i="7" s="1"/>
  <c r="BM38" i="7"/>
  <c r="CF42" i="7" s="1"/>
  <c r="CP38" i="7" s="1"/>
  <c r="BQ38" i="7"/>
  <c r="CG42" i="7" s="1"/>
  <c r="CQ38" i="7" s="1"/>
  <c r="BM36" i="7"/>
  <c r="CF40" i="7" s="1"/>
  <c r="CP36" i="7" s="1"/>
  <c r="BQ36" i="7"/>
  <c r="CG40" i="7" s="1"/>
  <c r="CQ36" i="7" s="1"/>
  <c r="BQ23" i="7"/>
  <c r="CG27" i="7" s="1"/>
  <c r="CQ23" i="7" s="1"/>
  <c r="BM23" i="7"/>
  <c r="CF27" i="7" s="1"/>
  <c r="CP23" i="7" s="1"/>
  <c r="BM25" i="7"/>
  <c r="CF29" i="7" s="1"/>
  <c r="CP25" i="7" s="1"/>
  <c r="BQ25" i="7"/>
  <c r="CG29" i="7" s="1"/>
  <c r="CQ25" i="7" s="1"/>
  <c r="BM26" i="7"/>
  <c r="CF30" i="7" s="1"/>
  <c r="CP26" i="7" s="1"/>
  <c r="BQ26" i="7"/>
  <c r="CG30" i="7" s="1"/>
  <c r="CQ26" i="7" s="1"/>
  <c r="BM29" i="7"/>
  <c r="CF33" i="7" s="1"/>
  <c r="CP29" i="7" s="1"/>
  <c r="BQ29" i="7"/>
  <c r="CG33" i="7" s="1"/>
  <c r="CQ29" i="7" s="1"/>
  <c r="BM30" i="7"/>
  <c r="CF34" i="7" s="1"/>
  <c r="CP30" i="7" s="1"/>
  <c r="BQ30" i="7"/>
  <c r="CG34" i="7" s="1"/>
  <c r="CQ30" i="7" s="1"/>
  <c r="BM32" i="7"/>
  <c r="CF36" i="7" s="1"/>
  <c r="CP32" i="7" s="1"/>
  <c r="BQ32" i="7"/>
  <c r="CG36" i="7" s="1"/>
  <c r="CQ32" i="7" s="1"/>
  <c r="BM33" i="7"/>
  <c r="CF37" i="7" s="1"/>
  <c r="CP33" i="7" s="1"/>
  <c r="BQ33" i="7"/>
  <c r="CG37" i="7" s="1"/>
  <c r="CQ33" i="7" s="1"/>
  <c r="BM24" i="7"/>
  <c r="CF28" i="7" s="1"/>
  <c r="CP24" i="7" s="1"/>
  <c r="BQ24" i="7"/>
  <c r="CG28" i="7" s="1"/>
  <c r="CQ24" i="7" s="1"/>
  <c r="BP33" i="7"/>
  <c r="CK17" i="7" s="1"/>
  <c r="CU16" i="7" s="1"/>
  <c r="BL33" i="7"/>
  <c r="CJ17" i="7" s="1"/>
  <c r="CT16" i="7" s="1"/>
  <c r="BP29" i="7"/>
  <c r="CK13" i="7" s="1"/>
  <c r="CU12" i="7" s="1"/>
  <c r="BL29" i="7"/>
  <c r="CJ13" i="7" s="1"/>
  <c r="CT12" i="7" s="1"/>
  <c r="BP28" i="7"/>
  <c r="CK12" i="7" s="1"/>
  <c r="CU11" i="7" s="1"/>
  <c r="BL28" i="7"/>
  <c r="CJ12" i="7" s="1"/>
  <c r="CT11" i="7" s="1"/>
  <c r="BP30" i="7"/>
  <c r="CK14" i="7" s="1"/>
  <c r="CU13" i="7" s="1"/>
  <c r="BL30" i="7"/>
  <c r="CJ14" i="7" s="1"/>
  <c r="CT13" i="7" s="1"/>
  <c r="BL38" i="7"/>
  <c r="CJ22" i="7" s="1"/>
  <c r="CT21" i="7" s="1"/>
  <c r="BP38" i="7"/>
  <c r="CK22" i="7" s="1"/>
  <c r="CU21" i="7" s="1"/>
  <c r="BL35" i="7"/>
  <c r="CJ19" i="7" s="1"/>
  <c r="CT18" i="7" s="1"/>
  <c r="BP35" i="7"/>
  <c r="CK19" i="7" s="1"/>
  <c r="CU18" i="7" s="1"/>
  <c r="BP34" i="7"/>
  <c r="CK18" i="7" s="1"/>
  <c r="CU17" i="7" s="1"/>
  <c r="BL34" i="7"/>
  <c r="CJ18" i="7" s="1"/>
  <c r="CT17" i="7" s="1"/>
  <c r="BL31" i="7"/>
  <c r="CJ15" i="7" s="1"/>
  <c r="CT14" i="7" s="1"/>
  <c r="BP31" i="7"/>
  <c r="CK15" i="7" s="1"/>
  <c r="CU14" i="7" s="1"/>
  <c r="BL23" i="7"/>
  <c r="CJ7" i="7" s="1"/>
  <c r="CT6" i="7" s="1"/>
  <c r="BL37" i="7"/>
  <c r="CJ21" i="7" s="1"/>
  <c r="CT20" i="7" s="1"/>
  <c r="BO24" i="7"/>
  <c r="CG8" i="7" s="1"/>
  <c r="CQ7" i="7" s="1"/>
  <c r="BL36" i="7"/>
  <c r="CJ20" i="7" s="1"/>
  <c r="CT19" i="7" s="1"/>
  <c r="BP36" i="7"/>
  <c r="CK20" i="7" s="1"/>
  <c r="CU19" i="7" s="1"/>
  <c r="BL32" i="7"/>
  <c r="CJ16" i="7" s="1"/>
  <c r="CT15" i="7" s="1"/>
  <c r="BP32" i="7"/>
  <c r="CK16" i="7" s="1"/>
  <c r="CU15" i="7" s="1"/>
  <c r="BL27" i="7"/>
  <c r="CJ11" i="7" s="1"/>
  <c r="CT10" i="7" s="1"/>
  <c r="BP27" i="7"/>
  <c r="CK11" i="7" s="1"/>
  <c r="CU10" i="7" s="1"/>
  <c r="BL26" i="7"/>
  <c r="CJ10" i="7" s="1"/>
  <c r="CT9" i="7" s="1"/>
  <c r="BP26" i="7"/>
  <c r="CK10" i="7" s="1"/>
  <c r="CU9" i="7" s="1"/>
  <c r="BL25" i="7"/>
  <c r="CJ9" i="7" s="1"/>
  <c r="CT8" i="7" s="1"/>
  <c r="BP25" i="7"/>
  <c r="CK9" i="7" s="1"/>
  <c r="CU8" i="7" s="1"/>
  <c r="BL24" i="7"/>
  <c r="CJ8" i="7" s="1"/>
  <c r="CT7" i="7" s="1"/>
  <c r="BP24" i="7"/>
  <c r="CK8" i="7" s="1"/>
  <c r="CU7" i="7" s="1"/>
  <c r="BK31" i="7"/>
  <c r="CF15" i="7" s="1"/>
  <c r="CP14" i="7" s="1"/>
  <c r="BO31" i="7"/>
  <c r="CG15" i="7" s="1"/>
  <c r="CQ14" i="7" s="1"/>
  <c r="BK25" i="7"/>
  <c r="CF9" i="7" s="1"/>
  <c r="CP8" i="7" s="1"/>
  <c r="BO25" i="7"/>
  <c r="CG9" i="7" s="1"/>
  <c r="CQ8" i="7" s="1"/>
  <c r="BO38" i="7"/>
  <c r="CG22" i="7" s="1"/>
  <c r="CQ21" i="7" s="1"/>
  <c r="BK38" i="7"/>
  <c r="CF22" i="7" s="1"/>
  <c r="CP21" i="7" s="1"/>
  <c r="BO33" i="7"/>
  <c r="CG17" i="7" s="1"/>
  <c r="CQ16" i="7" s="1"/>
  <c r="BK33" i="7"/>
  <c r="CF17" i="7" s="1"/>
  <c r="CP16" i="7" s="1"/>
  <c r="BK32" i="7"/>
  <c r="CF16" i="7" s="1"/>
  <c r="CP15" i="7" s="1"/>
  <c r="BO32" i="7"/>
  <c r="CG16" i="7" s="1"/>
  <c r="CQ15" i="7" s="1"/>
  <c r="BK28" i="7"/>
  <c r="CF12" i="7" s="1"/>
  <c r="CP11" i="7" s="1"/>
  <c r="BO28" i="7"/>
  <c r="CG12" i="7" s="1"/>
  <c r="CQ11" i="7" s="1"/>
  <c r="BO27" i="7"/>
  <c r="CG11" i="7" s="1"/>
  <c r="CQ10" i="7" s="1"/>
  <c r="BK27" i="7"/>
  <c r="CF11" i="7" s="1"/>
  <c r="CP10" i="7" s="1"/>
  <c r="BO26" i="7"/>
  <c r="CG10" i="7" s="1"/>
  <c r="CQ9" i="7" s="1"/>
  <c r="BK26" i="7"/>
  <c r="CF10" i="7" s="1"/>
  <c r="CP9" i="7" s="1"/>
  <c r="BO37" i="7"/>
  <c r="CG21" i="7" s="1"/>
  <c r="CQ20" i="7" s="1"/>
  <c r="BK37" i="7"/>
  <c r="CF21" i="7" s="1"/>
  <c r="CP20" i="7" s="1"/>
  <c r="BK35" i="7"/>
  <c r="CF19" i="7" s="1"/>
  <c r="CP18" i="7" s="1"/>
  <c r="BO35" i="7"/>
  <c r="CG19" i="7" s="1"/>
  <c r="CQ18" i="7" s="1"/>
  <c r="BO36" i="7"/>
  <c r="CG20" i="7" s="1"/>
  <c r="CQ19" i="7" s="1"/>
  <c r="BK36" i="7"/>
  <c r="CF20" i="7" s="1"/>
  <c r="CP19" i="7" s="1"/>
  <c r="BO30" i="7"/>
  <c r="CG14" i="7" s="1"/>
  <c r="CQ13" i="7" s="1"/>
  <c r="BK30" i="7"/>
  <c r="CF14" i="7" s="1"/>
  <c r="CP13" i="7" s="1"/>
  <c r="BO29" i="7"/>
  <c r="CG13" i="7" s="1"/>
  <c r="CQ12" i="7" s="1"/>
  <c r="BK29" i="7"/>
  <c r="CF13" i="7" s="1"/>
  <c r="CP12" i="7" s="1"/>
  <c r="BO34" i="7"/>
  <c r="CG18" i="7" s="1"/>
  <c r="CQ17" i="7" s="1"/>
  <c r="BK34" i="7"/>
  <c r="CF18" i="7" s="1"/>
  <c r="CP17" i="7" s="1"/>
  <c r="BQ45" i="7"/>
  <c r="CI31" i="7" s="1"/>
  <c r="CS27" i="7" s="1"/>
  <c r="BM45" i="7"/>
  <c r="CH31" i="7" s="1"/>
  <c r="CR27" i="7" s="1"/>
  <c r="BM44" i="7"/>
  <c r="CH30" i="7" s="1"/>
  <c r="CR26" i="7" s="1"/>
  <c r="BQ44" i="7"/>
  <c r="CI30" i="7" s="1"/>
  <c r="CS26" i="7" s="1"/>
  <c r="BM43" i="7"/>
  <c r="CH29" i="7" s="1"/>
  <c r="CR25" i="7" s="1"/>
  <c r="BQ43" i="7"/>
  <c r="CI29" i="7" s="1"/>
  <c r="CS25" i="7" s="1"/>
  <c r="BM42" i="7"/>
  <c r="CH28" i="7" s="1"/>
  <c r="CR24" i="7" s="1"/>
  <c r="BQ42" i="7"/>
  <c r="CI28" i="7" s="1"/>
  <c r="BM41" i="7"/>
  <c r="CH27" i="7" s="1"/>
  <c r="CR23" i="7" s="1"/>
  <c r="BQ41" i="7"/>
  <c r="CI27" i="7" s="1"/>
  <c r="BM56" i="7"/>
  <c r="CH42" i="7" s="1"/>
  <c r="CR38" i="7" s="1"/>
  <c r="BQ56" i="7"/>
  <c r="CI42" i="7" s="1"/>
  <c r="BM55" i="7"/>
  <c r="CH41" i="7" s="1"/>
  <c r="CR37" i="7" s="1"/>
  <c r="BQ55" i="7"/>
  <c r="CI41" i="7" s="1"/>
  <c r="BM46" i="7"/>
  <c r="CH32" i="7" s="1"/>
  <c r="CR28" i="7" s="1"/>
  <c r="BQ46" i="7"/>
  <c r="CI32" i="7" s="1"/>
  <c r="CS28" i="7" s="1"/>
  <c r="BQ47" i="7"/>
  <c r="CI33" i="7" s="1"/>
  <c r="CS29" i="7" s="1"/>
  <c r="BM47" i="7"/>
  <c r="CH33" i="7" s="1"/>
  <c r="CR29" i="7" s="1"/>
  <c r="BM48" i="7"/>
  <c r="CH34" i="7" s="1"/>
  <c r="CR30" i="7" s="1"/>
  <c r="BQ48" i="7"/>
  <c r="CI34" i="7" s="1"/>
  <c r="CS30" i="7" s="1"/>
  <c r="BM49" i="7"/>
  <c r="CH35" i="7" s="1"/>
  <c r="CR31" i="7" s="1"/>
  <c r="BQ49" i="7"/>
  <c r="CI35" i="7" s="1"/>
  <c r="CS31" i="7" s="1"/>
  <c r="BM50" i="7"/>
  <c r="CH36" i="7" s="1"/>
  <c r="CR32" i="7" s="1"/>
  <c r="BQ50" i="7"/>
  <c r="CI36" i="7" s="1"/>
  <c r="CS32" i="7" s="1"/>
  <c r="BQ51" i="7"/>
  <c r="CI37" i="7" s="1"/>
  <c r="CS33" i="7" s="1"/>
  <c r="BM51" i="7"/>
  <c r="CH37" i="7" s="1"/>
  <c r="CR33" i="7" s="1"/>
  <c r="BM52" i="7"/>
  <c r="CH38" i="7" s="1"/>
  <c r="CR34" i="7" s="1"/>
  <c r="BQ52" i="7"/>
  <c r="CI38" i="7" s="1"/>
  <c r="CS34" i="7" s="1"/>
  <c r="BQ53" i="7"/>
  <c r="CI39" i="7" s="1"/>
  <c r="CS35" i="7" s="1"/>
  <c r="BM53" i="7"/>
  <c r="CH39" i="7" s="1"/>
  <c r="CR35" i="7" s="1"/>
  <c r="BQ54" i="7"/>
  <c r="CI40" i="7" s="1"/>
  <c r="CS36" i="7" s="1"/>
  <c r="BM54" i="7"/>
  <c r="CH40" i="7" s="1"/>
  <c r="CR36" i="7" s="1"/>
  <c r="BP46" i="7"/>
  <c r="CM12" i="7" s="1"/>
  <c r="CW11" i="7" s="1"/>
  <c r="BL46" i="7"/>
  <c r="CL12" i="7" s="1"/>
  <c r="CV11" i="7" s="1"/>
  <c r="BL45" i="7"/>
  <c r="CL11" i="7" s="1"/>
  <c r="CV10" i="7" s="1"/>
  <c r="BP45" i="7"/>
  <c r="CM11" i="7" s="1"/>
  <c r="CW10" i="7" s="1"/>
  <c r="BL44" i="7"/>
  <c r="CL10" i="7" s="1"/>
  <c r="CV9" i="7" s="1"/>
  <c r="BP44" i="7"/>
  <c r="CM10" i="7" s="1"/>
  <c r="CW9" i="7" s="1"/>
  <c r="BP42" i="7"/>
  <c r="CM8" i="7" s="1"/>
  <c r="CW7" i="7" s="1"/>
  <c r="BL42" i="7"/>
  <c r="CL8" i="7" s="1"/>
  <c r="CV7" i="7" s="1"/>
  <c r="BL41" i="7"/>
  <c r="CL7" i="7" s="1"/>
  <c r="CV6" i="7" s="1"/>
  <c r="BP41" i="7"/>
  <c r="CM7" i="7" s="1"/>
  <c r="BL43" i="7"/>
  <c r="CL9" i="7" s="1"/>
  <c r="CV8" i="7" s="1"/>
  <c r="BP43" i="7"/>
  <c r="CM9" i="7" s="1"/>
  <c r="CW8" i="7" s="1"/>
  <c r="BL56" i="7"/>
  <c r="CL22" i="7" s="1"/>
  <c r="CV21" i="7" s="1"/>
  <c r="BP56" i="7"/>
  <c r="CM22" i="7" s="1"/>
  <c r="BL47" i="7"/>
  <c r="CL13" i="7" s="1"/>
  <c r="CV12" i="7" s="1"/>
  <c r="BN50" i="7"/>
  <c r="CL36" i="7" s="1"/>
  <c r="CV32" i="7" s="1"/>
  <c r="BR51" i="7"/>
  <c r="CM37" i="7" s="1"/>
  <c r="CW33" i="7" s="1"/>
  <c r="BN52" i="7"/>
  <c r="CL38" i="7" s="1"/>
  <c r="CV34" i="7" s="1"/>
  <c r="BN53" i="7"/>
  <c r="CL39" i="7" s="1"/>
  <c r="CV35" i="7" s="1"/>
  <c r="BR54" i="7"/>
  <c r="CM40" i="7" s="1"/>
  <c r="CW36" i="7" s="1"/>
  <c r="BN55" i="7"/>
  <c r="CL41" i="7" s="1"/>
  <c r="CV37" i="7" s="1"/>
  <c r="BK45" i="7"/>
  <c r="CH11" i="7" s="1"/>
  <c r="CR10" i="7" s="1"/>
  <c r="BK46" i="7"/>
  <c r="CH12" i="7" s="1"/>
  <c r="CR11" i="7" s="1"/>
  <c r="BO47" i="7"/>
  <c r="CI13" i="7" s="1"/>
  <c r="BK48" i="7"/>
  <c r="CH14" i="7" s="1"/>
  <c r="CR13" i="7" s="1"/>
  <c r="BK49" i="7"/>
  <c r="CH15" i="7" s="1"/>
  <c r="CR14" i="7" s="1"/>
  <c r="BK50" i="7"/>
  <c r="CH16" i="7" s="1"/>
  <c r="CR15" i="7" s="1"/>
  <c r="BO51" i="7"/>
  <c r="CI17" i="7" s="1"/>
  <c r="CS16" i="7" s="1"/>
  <c r="BO52" i="7"/>
  <c r="CI18" i="7" s="1"/>
  <c r="CS17" i="7" s="1"/>
  <c r="BO53" i="7"/>
  <c r="CI19" i="7" s="1"/>
  <c r="CS18" i="7" s="1"/>
  <c r="BO54" i="7"/>
  <c r="CI20" i="7" s="1"/>
  <c r="CS19" i="7" s="1"/>
  <c r="BK55" i="7"/>
  <c r="CH21" i="7" s="1"/>
  <c r="CR20" i="7" s="1"/>
  <c r="BK56" i="7"/>
  <c r="CH22" i="7" s="1"/>
  <c r="CR21" i="7" s="1"/>
  <c r="BO41" i="7"/>
  <c r="CI7" i="7" s="1"/>
  <c r="CS6" i="7" s="1"/>
  <c r="BO42" i="7"/>
  <c r="CI8" i="7" s="1"/>
  <c r="CS7" i="7" s="1"/>
  <c r="BK43" i="7"/>
  <c r="CH9" i="7" s="1"/>
  <c r="CR8" i="7" s="1"/>
  <c r="BK44" i="7"/>
  <c r="CH10" i="7" s="1"/>
  <c r="CR9" i="7" s="1"/>
  <c r="BP47" i="7"/>
  <c r="CM13" i="7" s="1"/>
  <c r="CW12" i="7" s="1"/>
  <c r="BL48" i="7"/>
  <c r="CL14" i="7" s="1"/>
  <c r="CV13" i="7" s="1"/>
  <c r="BP48" i="7"/>
  <c r="CM14" i="7" s="1"/>
  <c r="CW13" i="7" s="1"/>
  <c r="BP49" i="7"/>
  <c r="CM15" i="7" s="1"/>
  <c r="CW14" i="7" s="1"/>
  <c r="BL49" i="7"/>
  <c r="CL15" i="7" s="1"/>
  <c r="CV14" i="7" s="1"/>
  <c r="BL50" i="7"/>
  <c r="CL16" i="7" s="1"/>
  <c r="CV15" i="7" s="1"/>
  <c r="BP50" i="7"/>
  <c r="CM16" i="7" s="1"/>
  <c r="CW15" i="7" s="1"/>
  <c r="BP51" i="7"/>
  <c r="CM17" i="7" s="1"/>
  <c r="CW16" i="7" s="1"/>
  <c r="BL51" i="7"/>
  <c r="CL17" i="7" s="1"/>
  <c r="CV16" i="7" s="1"/>
  <c r="BL52" i="7"/>
  <c r="CL18" i="7" s="1"/>
  <c r="CV17" i="7" s="1"/>
  <c r="BP52" i="7"/>
  <c r="CM18" i="7" s="1"/>
  <c r="CW17" i="7" s="1"/>
  <c r="BL53" i="7"/>
  <c r="CL19" i="7" s="1"/>
  <c r="CV18" i="7" s="1"/>
  <c r="BP53" i="7"/>
  <c r="CM19" i="7" s="1"/>
  <c r="CW18" i="7" s="1"/>
  <c r="BP54" i="7"/>
  <c r="CM20" i="7" s="1"/>
  <c r="CW19" i="7" s="1"/>
  <c r="BL54" i="7"/>
  <c r="CL20" i="7" s="1"/>
  <c r="CV19" i="7" s="1"/>
  <c r="BP55" i="7"/>
  <c r="CM21" i="7" s="1"/>
  <c r="CW20" i="7" s="1"/>
  <c r="BL55" i="7"/>
  <c r="CL21" i="7" s="1"/>
  <c r="CV20" i="7" s="1"/>
  <c r="BR56" i="7"/>
  <c r="CM42" i="7" s="1"/>
  <c r="CW38" i="7" s="1"/>
  <c r="BN56" i="7"/>
  <c r="CL42" i="7" s="1"/>
  <c r="CV38" i="7" s="1"/>
  <c r="BR41" i="7"/>
  <c r="CM27" i="7" s="1"/>
  <c r="CW23" i="7" s="1"/>
  <c r="BN41" i="7"/>
  <c r="CL27" i="7" s="1"/>
  <c r="CV23" i="7" s="1"/>
  <c r="BN42" i="7"/>
  <c r="CL28" i="7" s="1"/>
  <c r="CV24" i="7" s="1"/>
  <c r="BR42" i="7"/>
  <c r="CM28" i="7" s="1"/>
  <c r="CW24" i="7" s="1"/>
  <c r="BN43" i="7"/>
  <c r="CL29" i="7" s="1"/>
  <c r="CV25" i="7" s="1"/>
  <c r="BR43" i="7"/>
  <c r="CM29" i="7" s="1"/>
  <c r="CW25" i="7" s="1"/>
  <c r="BR44" i="7"/>
  <c r="CM30" i="7" s="1"/>
  <c r="CW26" i="7" s="1"/>
  <c r="BN44" i="7"/>
  <c r="CL30" i="7" s="1"/>
  <c r="CV26" i="7" s="1"/>
  <c r="BR45" i="7"/>
  <c r="CM31" i="7" s="1"/>
  <c r="CW27" i="7" s="1"/>
  <c r="BN45" i="7"/>
  <c r="CL31" i="7" s="1"/>
  <c r="CV27" i="7" s="1"/>
  <c r="BR46" i="7"/>
  <c r="CM32" i="7" s="1"/>
  <c r="CW28" i="7" s="1"/>
  <c r="BN46" i="7"/>
  <c r="CL32" i="7" s="1"/>
  <c r="CV28" i="7" s="1"/>
  <c r="BR47" i="7"/>
  <c r="CM33" i="7" s="1"/>
  <c r="CW29" i="7" s="1"/>
  <c r="BN47" i="7"/>
  <c r="CL33" i="7" s="1"/>
  <c r="CV29" i="7" s="1"/>
  <c r="BR48" i="7"/>
  <c r="CM34" i="7" s="1"/>
  <c r="CW30" i="7" s="1"/>
  <c r="BN48" i="7"/>
  <c r="CL34" i="7" s="1"/>
  <c r="CV30" i="7" s="1"/>
  <c r="BR49" i="7"/>
  <c r="CM35" i="7" s="1"/>
  <c r="CW31" i="7" s="1"/>
  <c r="BN49" i="7"/>
  <c r="CL35" i="7" s="1"/>
  <c r="CV31" i="7" s="1"/>
  <c r="BR50" i="7"/>
  <c r="CM36" i="7" s="1"/>
  <c r="CW32" i="7" s="1"/>
  <c r="BN51" i="7"/>
  <c r="CL37" i="7" s="1"/>
  <c r="CV33" i="7" s="1"/>
  <c r="BR52" i="7"/>
  <c r="CM38" i="7" s="1"/>
  <c r="CW34" i="7" s="1"/>
  <c r="BR53" i="7"/>
  <c r="CM39" i="7" s="1"/>
  <c r="CW35" i="7" s="1"/>
  <c r="BN54" i="7"/>
  <c r="CL40" i="7" s="1"/>
  <c r="CV36" i="7" s="1"/>
  <c r="BR55" i="7"/>
  <c r="CM41" i="7" s="1"/>
  <c r="CW37" i="7" s="1"/>
  <c r="BO45" i="7"/>
  <c r="CI11" i="7" s="1"/>
  <c r="BO46" i="7"/>
  <c r="CI12" i="7" s="1"/>
  <c r="BK47" i="7"/>
  <c r="CH13" i="7" s="1"/>
  <c r="BO48" i="7"/>
  <c r="CI14" i="7" s="1"/>
  <c r="BO49" i="7"/>
  <c r="CI15" i="7" s="1"/>
  <c r="BO50" i="7"/>
  <c r="CI16" i="7" s="1"/>
  <c r="BK51" i="7"/>
  <c r="CH17" i="7" s="1"/>
  <c r="BK52" i="7"/>
  <c r="CH18" i="7" s="1"/>
  <c r="BK53" i="7"/>
  <c r="CH19" i="7" s="1"/>
  <c r="BK54" i="7"/>
  <c r="CH20" i="7" s="1"/>
  <c r="BO55" i="7"/>
  <c r="CI21" i="7" s="1"/>
  <c r="BO56" i="7"/>
  <c r="CI22" i="7" s="1"/>
  <c r="BK41" i="7"/>
  <c r="CH7" i="7" s="1"/>
  <c r="BK42" i="7"/>
  <c r="CH8" i="7" s="1"/>
  <c r="BO43" i="7"/>
  <c r="CI9" i="7" s="1"/>
  <c r="BO44" i="7"/>
  <c r="CI10" i="7" s="1"/>
  <c r="CQ6" i="7"/>
  <c r="CS23" i="7"/>
  <c r="CS24" i="7"/>
  <c r="CS37" i="7"/>
  <c r="CS38" i="7"/>
  <c r="CR19" i="7"/>
  <c r="CR6" i="7"/>
  <c r="CR16" i="7"/>
  <c r="CR17" i="7"/>
  <c r="CR18" i="7"/>
  <c r="CR7" i="7"/>
  <c r="CR12" i="7"/>
  <c r="CS9" i="7"/>
  <c r="CS11" i="7"/>
  <c r="CS20" i="7"/>
  <c r="CS21" i="7"/>
  <c r="CS8" i="7"/>
  <c r="CS10" i="7"/>
  <c r="CS12" i="7"/>
  <c r="CS13" i="7"/>
  <c r="CS14" i="7"/>
  <c r="CS15" i="7"/>
  <c r="X40" i="7"/>
  <c r="W40" i="7"/>
  <c r="V40" i="7"/>
  <c r="U40" i="7"/>
  <c r="T41" i="7" s="1"/>
  <c r="CZ13" i="7" l="1"/>
  <c r="CZ12" i="7"/>
  <c r="CZ17" i="7"/>
  <c r="CZ4" i="7"/>
  <c r="DA14" i="7"/>
  <c r="CZ14" i="7"/>
  <c r="DB14" i="7"/>
  <c r="DC14" i="7"/>
  <c r="CZ15" i="7"/>
  <c r="DA15" i="7"/>
  <c r="DB15" i="7"/>
  <c r="DC15" i="7"/>
  <c r="CZ16" i="7"/>
  <c r="DA16" i="7"/>
  <c r="DB16" i="7"/>
  <c r="DC16" i="7"/>
  <c r="DA17" i="7"/>
  <c r="DB17" i="7"/>
  <c r="DC17" i="7"/>
  <c r="CZ18" i="7"/>
  <c r="DA18" i="7"/>
  <c r="DB18" i="7"/>
  <c r="DC18" i="7"/>
  <c r="CZ19" i="7"/>
  <c r="DA19" i="7"/>
  <c r="DB19" i="7"/>
  <c r="DC19" i="7"/>
  <c r="DA13" i="7"/>
  <c r="DB13" i="7"/>
  <c r="DC13" i="7"/>
  <c r="DA12" i="7"/>
  <c r="DB12" i="7"/>
  <c r="DC12" i="7"/>
  <c r="CZ11" i="7"/>
  <c r="CZ10" i="7"/>
  <c r="DA10" i="7"/>
  <c r="DB10" i="7"/>
  <c r="DC10" i="7"/>
  <c r="DA11" i="7"/>
  <c r="DB11" i="7"/>
  <c r="DC11" i="7"/>
  <c r="DA4" i="7"/>
  <c r="CZ5" i="7"/>
  <c r="DC5" i="7"/>
  <c r="CZ6" i="7"/>
  <c r="DB6" i="7"/>
  <c r="DA7" i="7"/>
  <c r="CZ8" i="7"/>
  <c r="DC8" i="7"/>
  <c r="CZ9" i="7"/>
  <c r="DC9" i="7"/>
  <c r="DB4" i="7"/>
  <c r="DB5" i="7"/>
  <c r="DC6" i="7"/>
  <c r="CZ7" i="7"/>
  <c r="DB7" i="7"/>
  <c r="DB8" i="7"/>
  <c r="DB9" i="7"/>
  <c r="DC4" i="7"/>
  <c r="DA5" i="7"/>
  <c r="DA6" i="7"/>
  <c r="DC7" i="7"/>
  <c r="DA8" i="7"/>
  <c r="DA9" i="7"/>
  <c r="DG16" i="7" l="1"/>
  <c r="DG18" i="7"/>
  <c r="DG19" i="7"/>
  <c r="DF12" i="7"/>
  <c r="DG12" i="7"/>
  <c r="DG6" i="7"/>
  <c r="DF5" i="7"/>
  <c r="DF9" i="7"/>
  <c r="DF13" i="7"/>
  <c r="DF18" i="7"/>
  <c r="DF19" i="7"/>
  <c r="DG5" i="7"/>
  <c r="DG8" i="7"/>
  <c r="DG9" i="7"/>
  <c r="DG10" i="7"/>
  <c r="DG13" i="7"/>
  <c r="DF14" i="7"/>
  <c r="DF4" i="7"/>
  <c r="DG7" i="7"/>
  <c r="DG15" i="7"/>
  <c r="DF11" i="7"/>
  <c r="DF15" i="7"/>
  <c r="DG4" i="7"/>
  <c r="DF6" i="7"/>
  <c r="DF8" i="7"/>
  <c r="DF10" i="7"/>
  <c r="DG11" i="7"/>
  <c r="DF16" i="7"/>
  <c r="DF17" i="7"/>
  <c r="DF7" i="7"/>
  <c r="DG17" i="7"/>
  <c r="DG14" i="7"/>
  <c r="DF21" i="7" l="1"/>
  <c r="DG21" i="7"/>
  <c r="DH6" i="7" l="1"/>
  <c r="DH5" i="7"/>
  <c r="DI17" i="7"/>
  <c r="DH17" i="7"/>
  <c r="DI11" i="7"/>
  <c r="DH8" i="7"/>
  <c r="DI15" i="7"/>
  <c r="DI14" i="7"/>
  <c r="DH7" i="7"/>
  <c r="DH16" i="7"/>
  <c r="DH10" i="7"/>
  <c r="DH15" i="7"/>
  <c r="DH11" i="7"/>
  <c r="DI7" i="7"/>
  <c r="DI12" i="7"/>
  <c r="DI18" i="7"/>
  <c r="DI8" i="7"/>
  <c r="DH19" i="7"/>
  <c r="DH13" i="7"/>
  <c r="DH12" i="7"/>
  <c r="DI16" i="7"/>
  <c r="DI13" i="7"/>
  <c r="DI10" i="7"/>
  <c r="DI6" i="7"/>
  <c r="DI19" i="7"/>
  <c r="DH14" i="7"/>
  <c r="DI9" i="7"/>
  <c r="DI5" i="7"/>
  <c r="DH18" i="7"/>
  <c r="DH9" i="7"/>
  <c r="DI4" i="7"/>
  <c r="DH4" i="7"/>
  <c r="DM4" i="7" l="1"/>
  <c r="DM17" i="7"/>
  <c r="DM8" i="7"/>
  <c r="DM7" i="7"/>
  <c r="DM16" i="7"/>
  <c r="DM10" i="7"/>
  <c r="DM6" i="7"/>
  <c r="DM15" i="7"/>
  <c r="DM11" i="7"/>
  <c r="DM19" i="7"/>
  <c r="DM13" i="7"/>
  <c r="DM12" i="7"/>
  <c r="DM14" i="7"/>
  <c r="DM18" i="7"/>
  <c r="DM9" i="7"/>
  <c r="DM5" i="7"/>
</calcChain>
</file>

<file path=xl/sharedStrings.xml><?xml version="1.0" encoding="utf-8"?>
<sst xmlns="http://schemas.openxmlformats.org/spreadsheetml/2006/main" count="1085" uniqueCount="136">
  <si>
    <t>1_2024</t>
  </si>
  <si>
    <t>bugzilla.mozilla.org</t>
  </si>
  <si>
    <t>CA Program</t>
  </si>
  <si>
    <t>ASSIGNED</t>
  </si>
  <si>
    <t>Calendar</t>
  </si>
  <si>
    <t>Conduit</t>
  </si>
  <si>
    <t>Data Platform and Tools</t>
  </si>
  <si>
    <t>REOPENED</t>
  </si>
  <si>
    <t>Developer Infrastructure</t>
  </si>
  <si>
    <t>GeckoView</t>
  </si>
  <si>
    <t>MailNews Core</t>
  </si>
  <si>
    <t>mozilla.org</t>
  </si>
  <si>
    <t>NSS</t>
  </si>
  <si>
    <t>Release Engineering</t>
  </si>
  <si>
    <t>Remote Protocol</t>
  </si>
  <si>
    <t>support.mozilla.org</t>
  </si>
  <si>
    <t>WebExtensions</t>
  </si>
  <si>
    <t>Webtools</t>
  </si>
  <si>
    <t>11_2023</t>
  </si>
  <si>
    <t>12_2023</t>
  </si>
  <si>
    <t>2_2024</t>
  </si>
  <si>
    <t>Mozilla QA</t>
  </si>
  <si>
    <t>3_2024</t>
  </si>
  <si>
    <t>4_2024</t>
  </si>
  <si>
    <t>FIXED</t>
  </si>
  <si>
    <t>5_2024</t>
  </si>
  <si>
    <t>6_2024</t>
  </si>
  <si>
    <t>7_2024</t>
  </si>
  <si>
    <t>8_2024</t>
  </si>
  <si>
    <t>New</t>
  </si>
  <si>
    <t>NEW</t>
  </si>
  <si>
    <t>5_2024 &amp; 6_2024</t>
  </si>
  <si>
    <t>3_2024 &amp; 4_2024</t>
  </si>
  <si>
    <t>7_2024 &amp; 8_2024</t>
  </si>
  <si>
    <t>1_2024 &amp; 2_2024</t>
  </si>
  <si>
    <t>11_2023 &amp; 12_2023</t>
  </si>
  <si>
    <t>u</t>
  </si>
  <si>
    <t>v</t>
  </si>
  <si>
    <t>Alpha</t>
  </si>
  <si>
    <t>Beta</t>
  </si>
  <si>
    <t>Omega</t>
  </si>
  <si>
    <t>Theta</t>
  </si>
  <si>
    <t>10_2023</t>
  </si>
  <si>
    <t>9_2023</t>
  </si>
  <si>
    <t>Bugs</t>
  </si>
  <si>
    <t>End Date</t>
  </si>
  <si>
    <t>Start Date</t>
  </si>
  <si>
    <t>Month</t>
  </si>
  <si>
    <t>Product</t>
  </si>
  <si>
    <t>Fixed</t>
  </si>
  <si>
    <t>Assigned</t>
  </si>
  <si>
    <t>Reopened</t>
  </si>
  <si>
    <t>09_2023 &amp; 10_2023</t>
  </si>
  <si>
    <t>Data (6-sets) - Formatted for document</t>
  </si>
  <si>
    <t>Min-Max for membership degree calc</t>
  </si>
  <si>
    <t>Min-Max of membership degrees for 6 sets to aggregate into one (Omega and Theta)</t>
  </si>
  <si>
    <t>Calculation of parameter membership-non membership (alpha-beta) from 6th Set</t>
  </si>
  <si>
    <t>Rearranging for next step</t>
  </si>
  <si>
    <t>Aggregating parameters and elements for Omega Theta stars (step 1, product)</t>
  </si>
  <si>
    <t>Step 2 division for NRM</t>
  </si>
  <si>
    <t>Single Interval only membership?</t>
  </si>
  <si>
    <t>NRM for ranking</t>
  </si>
  <si>
    <t>Lexographical ordering</t>
  </si>
  <si>
    <t>Months</t>
  </si>
  <si>
    <t>N</t>
  </si>
  <si>
    <t>F</t>
  </si>
  <si>
    <t>A</t>
  </si>
  <si>
    <t>R</t>
  </si>
  <si>
    <t>#</t>
  </si>
  <si>
    <t>Min</t>
  </si>
  <si>
    <t>Max</t>
  </si>
  <si>
    <t>7_2024 &amp; 8_2024</t>
  </si>
  <si>
    <t>Alpha -/+</t>
  </si>
  <si>
    <t>Beta -/+</t>
  </si>
  <si>
    <t>Alpha * Omega</t>
  </si>
  <si>
    <t>w*-</t>
  </si>
  <si>
    <t>w*+</t>
  </si>
  <si>
    <t>th*-</t>
  </si>
  <si>
    <t>th*+</t>
  </si>
  <si>
    <t>s(u)</t>
  </si>
  <si>
    <t>d-(u)</t>
  </si>
  <si>
    <t>d+(u)</t>
  </si>
  <si>
    <t>rank(d1)</t>
  </si>
  <si>
    <t>9_2023 &amp; 10_2023</t>
  </si>
  <si>
    <t>9/23 &amp; 10/23</t>
  </si>
  <si>
    <t>11/23 &amp; 12/23</t>
  </si>
  <si>
    <t>Sorted for</t>
  </si>
  <si>
    <t>(5,2,3,9,4)</t>
  </si>
  <si>
    <t>(70,72,90,96)</t>
  </si>
  <si>
    <t>(26,15)</t>
  </si>
  <si>
    <t>(1,0,0,0,1,0,1,1,0,1)</t>
  </si>
  <si>
    <t>Beta * Theta</t>
  </si>
  <si>
    <t>mu</t>
  </si>
  <si>
    <t>(28,28,20,20,10,12)</t>
  </si>
  <si>
    <t>(63,56,66,40,54,60,52)</t>
  </si>
  <si>
    <t>(4,8)</t>
  </si>
  <si>
    <t>(2,5)</t>
  </si>
  <si>
    <t>N-</t>
  </si>
  <si>
    <t>N+</t>
  </si>
  <si>
    <t>F-</t>
  </si>
  <si>
    <t>F+</t>
  </si>
  <si>
    <t>Cost</t>
  </si>
  <si>
    <t>Profit</t>
  </si>
  <si>
    <t>(51,116,108,52,79)</t>
  </si>
  <si>
    <t>(14,33,38,31,31)</t>
  </si>
  <si>
    <t>(2,1,0,3,1,1,0,1,2,1,2,1)</t>
  </si>
  <si>
    <t>(6,6,9,9)</t>
  </si>
  <si>
    <t>pi</t>
  </si>
  <si>
    <t>11_2023 &amp; 12_2023</t>
  </si>
  <si>
    <t>1/24 &amp; 2/24</t>
  </si>
  <si>
    <t>3/24 &amp; 4/24</t>
  </si>
  <si>
    <t>-</t>
  </si>
  <si>
    <t>+</t>
  </si>
  <si>
    <t>A-</t>
  </si>
  <si>
    <t>A+</t>
  </si>
  <si>
    <t>R-</t>
  </si>
  <si>
    <t>R+</t>
  </si>
  <si>
    <t>Dr</t>
  </si>
  <si>
    <t>1_2024 &amp; 2_2024</t>
  </si>
  <si>
    <t>5/24 &amp; 6/24</t>
  </si>
  <si>
    <t>7/24 &amp; 8/24</t>
  </si>
  <si>
    <t>kai</t>
  </si>
  <si>
    <t>3_2024 &amp; 4_2024</t>
  </si>
  <si>
    <t>5_2024 &amp; 6_2024</t>
  </si>
  <si>
    <t>NRM of 6-Sets formatted for document</t>
  </si>
  <si>
    <t>Sum</t>
  </si>
  <si>
    <t>12 months' dataset count for 16 products -</t>
  </si>
  <si>
    <t>Dataset</t>
  </si>
  <si>
    <t>Normalization</t>
  </si>
  <si>
    <t>Step-I</t>
  </si>
  <si>
    <t>Step-II</t>
  </si>
  <si>
    <t>Step-III</t>
  </si>
  <si>
    <t>Step-IV</t>
  </si>
  <si>
    <t>1-NRM</t>
  </si>
  <si>
    <t>max</t>
  </si>
  <si>
    <t>Min-Max(1-NRM)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</si>
</sst>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1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  <font>
      <sz val="8"/>
      <color rgb="FF333333"/>
      <name val="Segoe UI"/>
      <family val="2"/>
    </font>
    <font>
      <sz val="12"/>
      <color theme="1"/>
      <name val="Aptos"/>
      <family val="2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7F8F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</patternFill>
    </fill>
  </fills>
  <borders count="67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/>
      <top style="medium">
        <color rgb="FFD6DADC"/>
      </top>
      <bottom/>
      <diagonal/>
    </border>
    <border>
      <left/>
      <right style="medium">
        <color rgb="FFD6DADC"/>
      </right>
      <top/>
      <bottom/>
      <diagonal/>
    </border>
    <border>
      <left/>
      <right style="medium">
        <color rgb="FFD6DADC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/>
      <bottom style="medium">
        <color rgb="FFD6DADC"/>
      </bottom>
      <diagonal/>
    </border>
    <border>
      <left/>
      <right style="medium">
        <color rgb="FFD6DADC"/>
      </right>
      <top/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 style="medium">
        <color indexed="64"/>
      </left>
      <right/>
      <top style="medium">
        <color indexed="64"/>
      </top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D6DADC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rgb="FFD6DAD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/>
      <right style="medium">
        <color rgb="FFFF0000"/>
      </right>
      <top/>
      <bottom/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rgb="FFD6DAD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2">
    <xf numFmtId="0" fontId="0" fillId="0" borderId="0"/>
    <xf numFmtId="0" fontId="8" fillId="8" borderId="0" applyNumberFormat="0" applyBorder="0" applyAlignment="0" applyProtection="0"/>
  </cellStyleXfs>
  <cellXfs count="14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4" borderId="1" xfId="0" applyFont="1" applyFill="1" applyBorder="1" applyAlignment="1">
      <alignment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2" fontId="0" fillId="0" borderId="0" xfId="0" applyNumberFormat="1"/>
    <xf numFmtId="0" fontId="2" fillId="0" borderId="0" xfId="0" applyFont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10" xfId="0" applyBorder="1" applyAlignment="1">
      <alignment horizontal="right"/>
    </xf>
    <xf numFmtId="0" fontId="0" fillId="0" borderId="5" xfId="0" applyBorder="1"/>
    <xf numFmtId="0" fontId="0" fillId="0" borderId="25" xfId="0" applyBorder="1"/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164" fontId="0" fillId="0" borderId="5" xfId="0" applyNumberFormat="1" applyBorder="1"/>
    <xf numFmtId="164" fontId="0" fillId="0" borderId="11" xfId="0" applyNumberFormat="1" applyBorder="1"/>
    <xf numFmtId="0" fontId="2" fillId="3" borderId="24" xfId="0" applyFont="1" applyFill="1" applyBorder="1" applyAlignment="1">
      <alignment vertical="center"/>
    </xf>
    <xf numFmtId="0" fontId="0" fillId="0" borderId="0" xfId="0" quotePrefix="1"/>
    <xf numFmtId="0" fontId="1" fillId="0" borderId="29" xfId="0" applyFont="1" applyBorder="1" applyAlignment="1">
      <alignment horizontal="left" vertical="center"/>
    </xf>
    <xf numFmtId="0" fontId="2" fillId="5" borderId="24" xfId="0" applyFont="1" applyFill="1" applyBorder="1" applyAlignment="1">
      <alignment vertical="center"/>
    </xf>
    <xf numFmtId="0" fontId="0" fillId="6" borderId="0" xfId="0" applyFill="1"/>
    <xf numFmtId="0" fontId="2" fillId="0" borderId="30" xfId="0" applyFont="1" applyBorder="1" applyAlignment="1">
      <alignment vertical="center"/>
    </xf>
    <xf numFmtId="164" fontId="0" fillId="0" borderId="13" xfId="0" applyNumberFormat="1" applyBorder="1"/>
    <xf numFmtId="164" fontId="0" fillId="0" borderId="14" xfId="0" applyNumberFormat="1" applyBorder="1"/>
    <xf numFmtId="165" fontId="0" fillId="0" borderId="36" xfId="0" applyNumberFormat="1" applyBorder="1"/>
    <xf numFmtId="0" fontId="2" fillId="0" borderId="18" xfId="0" applyFont="1" applyBorder="1" applyAlignment="1">
      <alignment vertic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3" borderId="0" xfId="0" applyFill="1"/>
    <xf numFmtId="0" fontId="1" fillId="0" borderId="3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38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164" fontId="0" fillId="0" borderId="39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165" fontId="0" fillId="0" borderId="5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164" fontId="0" fillId="0" borderId="51" xfId="0" applyNumberFormat="1" applyBorder="1"/>
    <xf numFmtId="164" fontId="0" fillId="0" borderId="52" xfId="0" applyNumberFormat="1" applyBorder="1"/>
    <xf numFmtId="164" fontId="0" fillId="0" borderId="53" xfId="0" applyNumberFormat="1" applyBorder="1"/>
    <xf numFmtId="0" fontId="2" fillId="0" borderId="54" xfId="0" applyFont="1" applyBorder="1" applyAlignment="1">
      <alignment vertical="center"/>
    </xf>
    <xf numFmtId="0" fontId="1" fillId="0" borderId="55" xfId="0" applyFont="1" applyBorder="1" applyAlignment="1">
      <alignment horizontal="left" vertical="center"/>
    </xf>
    <xf numFmtId="164" fontId="0" fillId="0" borderId="46" xfId="0" applyNumberFormat="1" applyBorder="1"/>
    <xf numFmtId="164" fontId="0" fillId="0" borderId="47" xfId="0" applyNumberFormat="1" applyBorder="1"/>
    <xf numFmtId="164" fontId="0" fillId="0" borderId="48" xfId="0" applyNumberFormat="1" applyBorder="1"/>
    <xf numFmtId="164" fontId="0" fillId="0" borderId="56" xfId="0" applyNumberFormat="1" applyBorder="1"/>
    <xf numFmtId="0" fontId="1" fillId="0" borderId="62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164" fontId="0" fillId="0" borderId="63" xfId="0" applyNumberFormat="1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164" fontId="0" fillId="0" borderId="59" xfId="0" applyNumberFormat="1" applyBorder="1"/>
    <xf numFmtId="164" fontId="0" fillId="0" borderId="49" xfId="0" applyNumberFormat="1" applyBorder="1"/>
    <xf numFmtId="164" fontId="8" fillId="8" borderId="0" xfId="1" applyNumberFormat="1"/>
    <xf numFmtId="164" fontId="8" fillId="8" borderId="13" xfId="1" applyNumberFormat="1" applyBorder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7" fillId="6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0" borderId="31" xfId="0" quotePrefix="1" applyFont="1" applyBorder="1" applyAlignment="1">
      <alignment horizontal="center"/>
    </xf>
    <xf numFmtId="0" fontId="5" fillId="0" borderId="32" xfId="0" quotePrefix="1" applyFont="1" applyBorder="1" applyAlignment="1">
      <alignment horizontal="center"/>
    </xf>
    <xf numFmtId="0" fontId="0" fillId="0" borderId="58" xfId="0" applyBorder="1" applyAlignment="1">
      <alignment horizontal="center"/>
    </xf>
    <xf numFmtId="2" fontId="0" fillId="0" borderId="60" xfId="0" applyNumberFormat="1" applyBorder="1" applyAlignment="1">
      <alignment horizontal="center"/>
    </xf>
    <xf numFmtId="2" fontId="0" fillId="0" borderId="61" xfId="0" applyNumberFormat="1" applyBorder="1" applyAlignment="1">
      <alignment horizontal="center"/>
    </xf>
    <xf numFmtId="0" fontId="0" fillId="3" borderId="3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6" fillId="0" borderId="31" xfId="0" quotePrefix="1" applyFont="1" applyBorder="1" applyAlignment="1">
      <alignment horizontal="center"/>
    </xf>
    <xf numFmtId="0" fontId="6" fillId="0" borderId="32" xfId="0" quotePrefix="1" applyFont="1" applyBorder="1" applyAlignment="1">
      <alignment horizontal="center"/>
    </xf>
    <xf numFmtId="0" fontId="0" fillId="0" borderId="57" xfId="0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calculations!$DH$3</c:f>
              <c:strCache>
                <c:ptCount val="1"/>
                <c:pt idx="0">
                  <c:v>d-(u)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calculations!$CY$4:$CY$19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calculations!$DH$4:$DH$19</c:f>
              <c:numCache>
                <c:formatCode>0.0000</c:formatCode>
                <c:ptCount val="16"/>
                <c:pt idx="0">
                  <c:v>9.6369885454017132E-2</c:v>
                </c:pt>
                <c:pt idx="1">
                  <c:v>0.24833823368582444</c:v>
                </c:pt>
                <c:pt idx="2">
                  <c:v>0</c:v>
                </c:pt>
                <c:pt idx="3">
                  <c:v>9.7614204835461044E-2</c:v>
                </c:pt>
                <c:pt idx="4">
                  <c:v>0.18637685407710242</c:v>
                </c:pt>
                <c:pt idx="5">
                  <c:v>7.6703968838989084E-2</c:v>
                </c:pt>
                <c:pt idx="6">
                  <c:v>2.0531894246230066E-2</c:v>
                </c:pt>
                <c:pt idx="7">
                  <c:v>9.8919201833162686E-3</c:v>
                </c:pt>
                <c:pt idx="8">
                  <c:v>0.13221987478717093</c:v>
                </c:pt>
                <c:pt idx="9">
                  <c:v>0.24415842848624017</c:v>
                </c:pt>
                <c:pt idx="10">
                  <c:v>6.693947502576598E-3</c:v>
                </c:pt>
                <c:pt idx="11">
                  <c:v>0.12612626007392394</c:v>
                </c:pt>
                <c:pt idx="12">
                  <c:v>6.6889599614389242E-2</c:v>
                </c:pt>
                <c:pt idx="13">
                  <c:v>9.6730085783356873E-2</c:v>
                </c:pt>
                <c:pt idx="14">
                  <c:v>2.6410661333719249E-2</c:v>
                </c:pt>
                <c:pt idx="15">
                  <c:v>4.6645761166413349E-2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0-4969-9917-95147B9EEAD7}"/>
            </c:ext>
          </c:extLst>
        </c:ser>
        <c:ser>
          <c:idx val="1"/>
          <c:order val="1"/>
          <c:tx>
            <c:strRef>
              <c:f>calculations!$DI$3</c:f>
              <c:strCache>
                <c:ptCount val="1"/>
                <c:pt idx="0">
                  <c:v>d+(u)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9432EE8-6D4E-4760-841A-7BC4CA896A0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860-4969-9917-95147B9EEAD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8FCCC0C-944E-4914-8947-7C873A6581A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860-4969-9917-95147B9EEA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AD09155-0C3C-47DB-9ED1-104DA4968EF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860-4969-9917-95147B9EEAD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71AFAA2-3ABD-438A-B6E6-9623BB89D41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860-4969-9917-95147B9EEA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BCE5DD8-37AE-4F33-8E32-4D4B383F8D7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860-4969-9917-95147B9EEAD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5B2AEDB-D30F-4CB2-92EF-B48F38F32BF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860-4969-9917-95147B9EEAD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04EA37B-55F2-45BF-B5D5-4BE12794BCE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860-4969-9917-95147B9EEAD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BC36C54-9D82-41C8-829C-F4674B34764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860-4969-9917-95147B9EEA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A747850-90DA-4667-AEA2-4A02CA1B7E7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860-4969-9917-95147B9EEAD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ECCECB5-1368-4A85-9462-2A6829445D9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860-4969-9917-95147B9EEA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D601B0D-8EC4-4F60-9D2D-E6F2C19BE0D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860-4969-9917-95147B9EEAD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2FBA6D9-71F8-43E1-A5A0-288E66F6BBD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860-4969-9917-95147B9EEA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94B28B0-79DD-4E79-BE42-2270C2051C1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860-4969-9917-95147B9EEAD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71B02C6-3687-423D-9B48-60CF37E75B3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860-4969-9917-95147B9EEA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0DBCD20-1F7D-4BF8-9ACB-A26BEF60D4C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860-4969-9917-95147B9EEAD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3B62C00-F31E-4CC3-8792-47E18044233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860-4969-9917-95147B9EEA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calculations!$CY$4:$CY$19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 QA</c:v>
                </c:pt>
                <c:pt idx="9">
                  <c:v>mozilla.org</c:v>
                </c:pt>
                <c:pt idx="10">
                  <c:v>NSS</c:v>
                </c:pt>
                <c:pt idx="11">
                  <c:v>Release Engineering</c:v>
                </c:pt>
                <c:pt idx="12">
                  <c:v>Remote Protocol</c:v>
                </c:pt>
                <c:pt idx="13">
                  <c:v>support.mozilla.org</c:v>
                </c:pt>
                <c:pt idx="14">
                  <c:v>WebExtensions</c:v>
                </c:pt>
                <c:pt idx="15">
                  <c:v>Webtools</c:v>
                </c:pt>
              </c:strCache>
            </c:strRef>
          </c:cat>
          <c:val>
            <c:numRef>
              <c:f>calculations!$DI$4:$DI$19</c:f>
              <c:numCache>
                <c:formatCode>0.0000</c:formatCode>
                <c:ptCount val="16"/>
                <c:pt idx="0">
                  <c:v>0.69558444326789226</c:v>
                </c:pt>
                <c:pt idx="1">
                  <c:v>1</c:v>
                </c:pt>
                <c:pt idx="2">
                  <c:v>0.41853373684141015</c:v>
                </c:pt>
                <c:pt idx="3">
                  <c:v>0.58565764012232724</c:v>
                </c:pt>
                <c:pt idx="4">
                  <c:v>0.68709117866230196</c:v>
                </c:pt>
                <c:pt idx="5">
                  <c:v>0.52769390374230329</c:v>
                </c:pt>
                <c:pt idx="6">
                  <c:v>0.70664665079785571</c:v>
                </c:pt>
                <c:pt idx="7">
                  <c:v>0.60372245581113004</c:v>
                </c:pt>
                <c:pt idx="8">
                  <c:v>0.72046915796877575</c:v>
                </c:pt>
                <c:pt idx="9">
                  <c:v>0.61682042057980135</c:v>
                </c:pt>
                <c:pt idx="10">
                  <c:v>0.75066647428127986</c:v>
                </c:pt>
                <c:pt idx="11">
                  <c:v>0.66584697024151795</c:v>
                </c:pt>
                <c:pt idx="12">
                  <c:v>0.55852885025301613</c:v>
                </c:pt>
                <c:pt idx="13">
                  <c:v>0.5862022261994122</c:v>
                </c:pt>
                <c:pt idx="14">
                  <c:v>0.74868909075144574</c:v>
                </c:pt>
                <c:pt idx="15">
                  <c:v>0.48572066159438559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calculations!$DI$4:$DI$19</c15:f>
                <c15:dlblRangeCache>
                  <c:ptCount val="16"/>
                  <c:pt idx="0">
                    <c:v>0.6956</c:v>
                  </c:pt>
                  <c:pt idx="1">
                    <c:v>1.0000</c:v>
                  </c:pt>
                  <c:pt idx="2">
                    <c:v>0.4185</c:v>
                  </c:pt>
                  <c:pt idx="3">
                    <c:v>0.5857</c:v>
                  </c:pt>
                  <c:pt idx="4">
                    <c:v>0.6871</c:v>
                  </c:pt>
                  <c:pt idx="5">
                    <c:v>0.5277</c:v>
                  </c:pt>
                  <c:pt idx="6">
                    <c:v>0.7066</c:v>
                  </c:pt>
                  <c:pt idx="7">
                    <c:v>0.6037</c:v>
                  </c:pt>
                  <c:pt idx="8">
                    <c:v>0.7205</c:v>
                  </c:pt>
                  <c:pt idx="9">
                    <c:v>0.6168</c:v>
                  </c:pt>
                  <c:pt idx="10">
                    <c:v>0.7507</c:v>
                  </c:pt>
                  <c:pt idx="11">
                    <c:v>0.6658</c:v>
                  </c:pt>
                  <c:pt idx="12">
                    <c:v>0.5585</c:v>
                  </c:pt>
                  <c:pt idx="13">
                    <c:v>0.5862</c:v>
                  </c:pt>
                  <c:pt idx="14">
                    <c:v>0.7487</c:v>
                  </c:pt>
                  <c:pt idx="15">
                    <c:v>0.4857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3860-4969-9917-95147B9EE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gradFill>
                <a:gsLst>
                  <a:gs pos="0">
                    <a:srgbClr val="FFFF00">
                      <a:lumMod val="95000"/>
                      <a:lumOff val="5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>
                <a:noFill/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80358239"/>
        <c:axId val="880360639"/>
      </c:lineChart>
      <c:catAx>
        <c:axId val="8803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60639"/>
        <c:crosses val="autoZero"/>
        <c:auto val="1"/>
        <c:lblAlgn val="ctr"/>
        <c:lblOffset val="100"/>
        <c:noMultiLvlLbl val="0"/>
      </c:catAx>
      <c:valAx>
        <c:axId val="880360639"/>
        <c:scaling>
          <c:orientation val="minMax"/>
          <c:max val="1"/>
        </c:scaling>
        <c:delete val="0"/>
        <c:axPos val="l"/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58239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102</xdr:col>
      <xdr:colOff>769936</xdr:colOff>
      <xdr:row>22</xdr:row>
      <xdr:rowOff>45358</xdr:rowOff>
    </xdr:from>
    <xdr:to>
      <xdr:col>116</xdr:col>
      <xdr:colOff>45357</xdr:colOff>
      <xdr:row>46</xdr:row>
      <xdr:rowOff>158298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9F670-43BC-43D0-AB65-DBA79DAAF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05BA-ACBF-49CA-97FD-F891D0463337}">
  <dimension ref="B1:F17"/>
  <sheetViews>
    <sheetView workbookViewId="0"/>
  </sheetViews>
  <sheetFormatPr defaultRowHeight="15" x14ac:dyDescent="0.25"/>
  <cols>
    <col min="2" max="2" width="2.7109375" bestFit="1" customWidth="1"/>
  </cols>
  <sheetData>
    <row r="1" spans="2:6" x14ac:dyDescent="0.25">
      <c r="B1" s="72"/>
      <c r="C1" s="72" t="s">
        <v>126</v>
      </c>
      <c r="D1" s="72"/>
      <c r="E1" s="72"/>
      <c r="F1" s="72"/>
    </row>
    <row r="3" spans="2:6" ht="16.5" thickBot="1" x14ac:dyDescent="0.3">
      <c r="B3" s="23"/>
      <c r="C3" s="68" t="s">
        <v>47</v>
      </c>
      <c r="D3" s="68" t="s">
        <v>46</v>
      </c>
      <c r="E3" s="68" t="s">
        <v>45</v>
      </c>
      <c r="F3" s="68" t="s">
        <v>44</v>
      </c>
    </row>
    <row r="4" spans="2:6" ht="15.75" thickBot="1" x14ac:dyDescent="0.3">
      <c r="B4" s="3">
        <v>1</v>
      </c>
      <c r="C4" s="8" t="s">
        <v>43</v>
      </c>
      <c r="D4" s="69">
        <v>45170</v>
      </c>
      <c r="E4" s="69">
        <v>45199</v>
      </c>
      <c r="F4" s="8">
        <v>409</v>
      </c>
    </row>
    <row r="5" spans="2:6" ht="15.75" thickBot="1" x14ac:dyDescent="0.3">
      <c r="B5" s="3">
        <v>2</v>
      </c>
      <c r="C5" s="8" t="s">
        <v>42</v>
      </c>
      <c r="D5" s="69">
        <v>45200</v>
      </c>
      <c r="E5" s="69">
        <v>45230</v>
      </c>
      <c r="F5" s="8">
        <v>477</v>
      </c>
    </row>
    <row r="6" spans="2:6" ht="15.75" thickBot="1" x14ac:dyDescent="0.3">
      <c r="B6" s="3">
        <v>3</v>
      </c>
      <c r="C6" s="8" t="s">
        <v>18</v>
      </c>
      <c r="D6" s="69">
        <v>45231</v>
      </c>
      <c r="E6" s="69">
        <v>45260</v>
      </c>
      <c r="F6" s="8">
        <v>764</v>
      </c>
    </row>
    <row r="7" spans="2:6" ht="15.75" thickBot="1" x14ac:dyDescent="0.3">
      <c r="B7" s="3">
        <v>4</v>
      </c>
      <c r="C7" s="8" t="s">
        <v>19</v>
      </c>
      <c r="D7" s="69">
        <v>45261</v>
      </c>
      <c r="E7" s="69">
        <v>45291</v>
      </c>
      <c r="F7" s="8">
        <v>552</v>
      </c>
    </row>
    <row r="8" spans="2:6" ht="15.75" thickBot="1" x14ac:dyDescent="0.3">
      <c r="B8" s="3">
        <v>5</v>
      </c>
      <c r="C8" s="8" t="s">
        <v>0</v>
      </c>
      <c r="D8" s="69">
        <v>45292</v>
      </c>
      <c r="E8" s="69">
        <v>45322</v>
      </c>
      <c r="F8" s="8">
        <v>609</v>
      </c>
    </row>
    <row r="9" spans="2:6" ht="15.75" thickBot="1" x14ac:dyDescent="0.3">
      <c r="B9" s="3">
        <v>6</v>
      </c>
      <c r="C9" s="8" t="s">
        <v>20</v>
      </c>
      <c r="D9" s="69">
        <v>45323</v>
      </c>
      <c r="E9" s="69">
        <v>45351</v>
      </c>
      <c r="F9" s="8">
        <v>829</v>
      </c>
    </row>
    <row r="10" spans="2:6" ht="15.75" thickBot="1" x14ac:dyDescent="0.3">
      <c r="B10" s="3">
        <v>7</v>
      </c>
      <c r="C10" s="8" t="s">
        <v>22</v>
      </c>
      <c r="D10" s="69">
        <v>45352</v>
      </c>
      <c r="E10" s="69">
        <v>45382</v>
      </c>
      <c r="F10" s="8">
        <v>624</v>
      </c>
    </row>
    <row r="11" spans="2:6" ht="15.75" thickBot="1" x14ac:dyDescent="0.3">
      <c r="B11" s="3">
        <v>8</v>
      </c>
      <c r="C11" s="8" t="s">
        <v>23</v>
      </c>
      <c r="D11" s="69">
        <v>45383</v>
      </c>
      <c r="E11" s="69">
        <v>45412</v>
      </c>
      <c r="F11" s="8">
        <v>593</v>
      </c>
    </row>
    <row r="12" spans="2:6" ht="15.75" thickBot="1" x14ac:dyDescent="0.3">
      <c r="B12" s="3">
        <v>9</v>
      </c>
      <c r="C12" s="8" t="s">
        <v>25</v>
      </c>
      <c r="D12" s="69">
        <v>45413</v>
      </c>
      <c r="E12" s="69">
        <v>45443</v>
      </c>
      <c r="F12" s="8">
        <v>1179</v>
      </c>
    </row>
    <row r="13" spans="2:6" ht="15.75" thickBot="1" x14ac:dyDescent="0.3">
      <c r="B13" s="3">
        <v>10</v>
      </c>
      <c r="C13" s="8" t="s">
        <v>26</v>
      </c>
      <c r="D13" s="69">
        <v>45444</v>
      </c>
      <c r="E13" s="69">
        <v>45473</v>
      </c>
      <c r="F13" s="8">
        <v>925</v>
      </c>
    </row>
    <row r="14" spans="2:6" ht="15.75" thickBot="1" x14ac:dyDescent="0.3">
      <c r="B14" s="3">
        <v>11</v>
      </c>
      <c r="C14" s="8" t="s">
        <v>27</v>
      </c>
      <c r="D14" s="69">
        <v>45474</v>
      </c>
      <c r="E14" s="69">
        <v>45504</v>
      </c>
      <c r="F14" s="8">
        <v>840</v>
      </c>
    </row>
    <row r="15" spans="2:6" ht="15.75" thickBot="1" x14ac:dyDescent="0.3">
      <c r="B15" s="3">
        <v>12</v>
      </c>
      <c r="C15" s="8" t="s">
        <v>28</v>
      </c>
      <c r="D15" s="69">
        <v>45505</v>
      </c>
      <c r="E15" s="69">
        <v>45535</v>
      </c>
      <c r="F15" s="8">
        <v>683</v>
      </c>
    </row>
    <row r="16" spans="2:6" x14ac:dyDescent="0.25">
      <c r="B16" s="6"/>
    </row>
    <row r="17" spans="5:6" ht="15.75" thickBot="1" x14ac:dyDescent="0.3">
      <c r="E17" s="70" t="s">
        <v>125</v>
      </c>
      <c r="F17" s="71">
        <f>SUM(F4:F15)</f>
        <v>8484</v>
      </c>
    </row>
  </sheetData>
  <sortState xmlns:xlrd2="http://schemas.microsoft.com/office/spreadsheetml/2017/richdata2" ref="C4:F15">
    <sortCondition ref="D4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5A1-F6A2-4991-B0A7-4897FA77623E}">
  <dimension ref="A1:O34"/>
  <sheetViews>
    <sheetView tabSelected="1" topLeftCell="A12" zoomScale="84" zoomScaleNormal="84" workbookViewId="0">
      <selection activeCell="L19" sqref="L19:O34"/>
    </sheetView>
  </sheetViews>
  <sheetFormatPr defaultRowHeight="15" x14ac:dyDescent="0.25"/>
  <cols>
    <col min="1" max="1" width="23.28515625" bestFit="1" customWidth="1"/>
    <col min="2" max="2" width="5.5703125" bestFit="1" customWidth="1"/>
    <col min="3" max="3" width="7" bestFit="1" customWidth="1"/>
    <col min="4" max="4" width="11" bestFit="1" customWidth="1"/>
    <col min="5" max="5" width="11.85546875" bestFit="1" customWidth="1"/>
    <col min="6" max="6" width="23.28515625" bestFit="1" customWidth="1"/>
    <col min="7" max="7" width="5.5703125" bestFit="1" customWidth="1"/>
    <col min="8" max="8" width="7" bestFit="1" customWidth="1"/>
    <col min="9" max="9" width="11" bestFit="1" customWidth="1"/>
    <col min="10" max="10" width="11.85546875" bestFit="1" customWidth="1"/>
    <col min="11" max="11" width="23.28515625" bestFit="1" customWidth="1"/>
    <col min="12" max="12" width="5.5703125" bestFit="1" customWidth="1"/>
    <col min="13" max="13" width="7" bestFit="1" customWidth="1"/>
    <col min="14" max="14" width="11" bestFit="1" customWidth="1"/>
    <col min="15" max="15" width="11.85546875" bestFit="1" customWidth="1"/>
  </cols>
  <sheetData>
    <row r="1" spans="1:15" ht="15.75" thickBot="1" x14ac:dyDescent="0.3">
      <c r="A1" s="7" t="s">
        <v>52</v>
      </c>
      <c r="B1" s="10" t="s">
        <v>30</v>
      </c>
      <c r="C1" s="1" t="s">
        <v>24</v>
      </c>
      <c r="D1" s="1" t="s">
        <v>3</v>
      </c>
      <c r="E1" s="1" t="s">
        <v>7</v>
      </c>
      <c r="F1" s="7" t="s">
        <v>35</v>
      </c>
      <c r="G1" s="10" t="s">
        <v>30</v>
      </c>
      <c r="H1" s="1" t="s">
        <v>24</v>
      </c>
      <c r="I1" s="1" t="s">
        <v>3</v>
      </c>
      <c r="J1" s="1" t="s">
        <v>7</v>
      </c>
      <c r="K1" s="7" t="s">
        <v>34</v>
      </c>
      <c r="L1" s="10" t="s">
        <v>30</v>
      </c>
      <c r="M1" s="1" t="s">
        <v>24</v>
      </c>
      <c r="N1" s="1" t="s">
        <v>3</v>
      </c>
      <c r="O1" s="1" t="s">
        <v>7</v>
      </c>
    </row>
    <row r="2" spans="1:15" ht="15.75" thickBot="1" x14ac:dyDescent="0.3">
      <c r="A2" s="3" t="s">
        <v>1</v>
      </c>
      <c r="B2" s="5">
        <v>6</v>
      </c>
      <c r="C2" s="5">
        <v>32</v>
      </c>
      <c r="D2" s="5">
        <v>2</v>
      </c>
      <c r="E2" s="26">
        <v>0</v>
      </c>
      <c r="F2" s="3" t="s">
        <v>1</v>
      </c>
      <c r="G2" s="5">
        <v>4</v>
      </c>
      <c r="H2" s="5">
        <v>43</v>
      </c>
      <c r="I2" s="5">
        <v>1</v>
      </c>
      <c r="J2" s="26">
        <v>0</v>
      </c>
      <c r="K2" s="3" t="s">
        <v>1</v>
      </c>
      <c r="L2" s="5">
        <v>144</v>
      </c>
      <c r="M2" s="5">
        <v>51</v>
      </c>
      <c r="N2" s="5">
        <v>6</v>
      </c>
      <c r="O2" s="26">
        <v>2</v>
      </c>
    </row>
    <row r="3" spans="1:15" ht="15.75" thickBot="1" x14ac:dyDescent="0.3">
      <c r="A3" s="3" t="s">
        <v>2</v>
      </c>
      <c r="B3" s="5">
        <v>2</v>
      </c>
      <c r="C3" s="5">
        <v>34</v>
      </c>
      <c r="D3" s="5">
        <v>2</v>
      </c>
      <c r="E3" s="26">
        <v>0</v>
      </c>
      <c r="F3" s="3" t="s">
        <v>2</v>
      </c>
      <c r="G3" s="5">
        <v>0</v>
      </c>
      <c r="H3" s="5">
        <v>22</v>
      </c>
      <c r="I3" s="5">
        <v>3</v>
      </c>
      <c r="J3" s="26">
        <v>0</v>
      </c>
      <c r="K3" s="3" t="s">
        <v>2</v>
      </c>
      <c r="L3" s="5">
        <v>1</v>
      </c>
      <c r="M3" s="5">
        <v>27</v>
      </c>
      <c r="N3" s="5">
        <v>7</v>
      </c>
      <c r="O3" s="26">
        <v>0</v>
      </c>
    </row>
    <row r="4" spans="1:15" ht="15.75" thickBot="1" x14ac:dyDescent="0.3">
      <c r="A4" s="3" t="s">
        <v>4</v>
      </c>
      <c r="B4" s="5">
        <v>26</v>
      </c>
      <c r="C4" s="5">
        <v>16</v>
      </c>
      <c r="D4" s="5">
        <v>0</v>
      </c>
      <c r="E4" s="26">
        <v>0</v>
      </c>
      <c r="F4" s="3" t="s">
        <v>4</v>
      </c>
      <c r="G4" s="5">
        <v>15</v>
      </c>
      <c r="H4" s="5">
        <v>9</v>
      </c>
      <c r="I4" s="5">
        <v>0</v>
      </c>
      <c r="J4" s="26">
        <v>1</v>
      </c>
      <c r="K4" s="3" t="s">
        <v>4</v>
      </c>
      <c r="L4" s="5">
        <v>34</v>
      </c>
      <c r="M4" s="5">
        <v>8</v>
      </c>
      <c r="N4" s="5">
        <v>0</v>
      </c>
      <c r="O4" s="26">
        <v>0</v>
      </c>
    </row>
    <row r="5" spans="1:15" ht="15.75" thickBot="1" x14ac:dyDescent="0.3">
      <c r="A5" s="3" t="s">
        <v>5</v>
      </c>
      <c r="B5" s="5">
        <v>19</v>
      </c>
      <c r="C5" s="5">
        <v>24</v>
      </c>
      <c r="D5" s="5">
        <v>0</v>
      </c>
      <c r="E5" s="26">
        <v>2</v>
      </c>
      <c r="F5" s="3" t="s">
        <v>5</v>
      </c>
      <c r="G5" s="5">
        <v>5</v>
      </c>
      <c r="H5" s="5">
        <v>29</v>
      </c>
      <c r="I5" s="5">
        <v>0</v>
      </c>
      <c r="J5" s="26">
        <v>0</v>
      </c>
      <c r="K5" s="3" t="s">
        <v>5</v>
      </c>
      <c r="L5" s="5">
        <v>27</v>
      </c>
      <c r="M5" s="5">
        <v>34</v>
      </c>
      <c r="N5" s="5">
        <v>2</v>
      </c>
      <c r="O5" s="26">
        <v>1</v>
      </c>
    </row>
    <row r="6" spans="1:15" ht="15.75" thickBot="1" x14ac:dyDescent="0.3">
      <c r="A6" s="3" t="s">
        <v>6</v>
      </c>
      <c r="B6" s="5">
        <v>20</v>
      </c>
      <c r="C6" s="5">
        <v>79</v>
      </c>
      <c r="D6" s="5">
        <v>1</v>
      </c>
      <c r="E6" s="26">
        <v>0</v>
      </c>
      <c r="F6" s="3" t="s">
        <v>6</v>
      </c>
      <c r="G6" s="5">
        <v>57</v>
      </c>
      <c r="H6" s="5">
        <v>112</v>
      </c>
      <c r="I6" s="5">
        <v>2</v>
      </c>
      <c r="J6" s="26">
        <v>2</v>
      </c>
      <c r="K6" s="3" t="s">
        <v>6</v>
      </c>
      <c r="L6" s="5">
        <v>46</v>
      </c>
      <c r="M6" s="5">
        <v>110</v>
      </c>
      <c r="N6" s="5">
        <v>0</v>
      </c>
      <c r="O6" s="26">
        <v>2</v>
      </c>
    </row>
    <row r="7" spans="1:15" ht="15.75" thickBot="1" x14ac:dyDescent="0.3">
      <c r="A7" s="3" t="s">
        <v>8</v>
      </c>
      <c r="B7" s="5">
        <v>23</v>
      </c>
      <c r="C7" s="5">
        <v>62</v>
      </c>
      <c r="D7" s="5">
        <v>2</v>
      </c>
      <c r="E7" s="26">
        <v>0</v>
      </c>
      <c r="F7" s="3" t="s">
        <v>8</v>
      </c>
      <c r="G7" s="5">
        <v>10</v>
      </c>
      <c r="H7" s="5">
        <v>43</v>
      </c>
      <c r="I7" s="5">
        <v>0</v>
      </c>
      <c r="J7" s="26">
        <v>2</v>
      </c>
      <c r="K7" s="3" t="s">
        <v>8</v>
      </c>
      <c r="L7" s="5">
        <v>35</v>
      </c>
      <c r="M7" s="5">
        <v>47</v>
      </c>
      <c r="N7" s="5">
        <v>1</v>
      </c>
      <c r="O7" s="26">
        <v>1</v>
      </c>
    </row>
    <row r="8" spans="1:15" ht="15.75" thickBot="1" x14ac:dyDescent="0.3">
      <c r="A8" s="3" t="s">
        <v>9</v>
      </c>
      <c r="B8" s="5">
        <v>20</v>
      </c>
      <c r="C8" s="5">
        <v>30</v>
      </c>
      <c r="D8" s="5">
        <v>2</v>
      </c>
      <c r="E8" s="26">
        <v>1</v>
      </c>
      <c r="F8" s="3" t="s">
        <v>9</v>
      </c>
      <c r="G8" s="5">
        <v>22</v>
      </c>
      <c r="H8" s="5">
        <v>36</v>
      </c>
      <c r="I8" s="5">
        <v>1</v>
      </c>
      <c r="J8" s="26">
        <v>2</v>
      </c>
      <c r="K8" s="3" t="s">
        <v>9</v>
      </c>
      <c r="L8" s="5">
        <v>26</v>
      </c>
      <c r="M8" s="5">
        <v>25</v>
      </c>
      <c r="N8" s="5">
        <v>3</v>
      </c>
      <c r="O8" s="26">
        <v>1</v>
      </c>
    </row>
    <row r="9" spans="1:15" ht="15.75" thickBot="1" x14ac:dyDescent="0.3">
      <c r="A9" s="3" t="s">
        <v>10</v>
      </c>
      <c r="B9" s="5">
        <v>38</v>
      </c>
      <c r="C9" s="5">
        <v>30</v>
      </c>
      <c r="D9" s="5">
        <v>1</v>
      </c>
      <c r="E9" s="26">
        <v>3</v>
      </c>
      <c r="F9" s="3" t="s">
        <v>10</v>
      </c>
      <c r="G9" s="5">
        <v>62</v>
      </c>
      <c r="H9" s="5">
        <v>42</v>
      </c>
      <c r="I9" s="5">
        <v>1</v>
      </c>
      <c r="J9" s="26">
        <v>2</v>
      </c>
      <c r="K9" s="3" t="s">
        <v>10</v>
      </c>
      <c r="L9" s="5">
        <v>107</v>
      </c>
      <c r="M9" s="5">
        <v>46</v>
      </c>
      <c r="N9" s="5">
        <v>1</v>
      </c>
      <c r="O9" s="26">
        <v>3</v>
      </c>
    </row>
    <row r="10" spans="1:15" ht="15.75" thickBot="1" x14ac:dyDescent="0.3">
      <c r="A10" s="11" t="s">
        <v>21</v>
      </c>
      <c r="B10" s="5">
        <v>0</v>
      </c>
      <c r="C10" s="5">
        <v>0</v>
      </c>
      <c r="D10" s="5">
        <v>0</v>
      </c>
      <c r="E10" s="26">
        <v>0</v>
      </c>
      <c r="F10" s="11" t="s">
        <v>21</v>
      </c>
      <c r="G10" s="5">
        <v>0</v>
      </c>
      <c r="H10" s="5">
        <v>0</v>
      </c>
      <c r="I10" s="5">
        <v>0</v>
      </c>
      <c r="J10" s="26">
        <v>0</v>
      </c>
      <c r="K10" s="11" t="s">
        <v>21</v>
      </c>
      <c r="L10" s="5">
        <v>1</v>
      </c>
      <c r="M10" s="5">
        <v>0</v>
      </c>
      <c r="N10" s="5">
        <v>0</v>
      </c>
      <c r="O10" s="26">
        <v>0</v>
      </c>
    </row>
    <row r="11" spans="1:15" ht="15.75" thickBot="1" x14ac:dyDescent="0.3">
      <c r="A11" s="3" t="s">
        <v>11</v>
      </c>
      <c r="B11" s="5">
        <v>0</v>
      </c>
      <c r="C11" s="5">
        <v>66</v>
      </c>
      <c r="D11" s="5">
        <v>0</v>
      </c>
      <c r="E11" s="26">
        <v>0</v>
      </c>
      <c r="F11" s="3" t="s">
        <v>11</v>
      </c>
      <c r="G11" s="5">
        <v>3</v>
      </c>
      <c r="H11" s="5">
        <v>88</v>
      </c>
      <c r="I11" s="5">
        <v>0</v>
      </c>
      <c r="J11" s="26">
        <v>0</v>
      </c>
      <c r="K11" s="3" t="s">
        <v>11</v>
      </c>
      <c r="L11" s="5">
        <v>3</v>
      </c>
      <c r="M11" s="5">
        <v>86</v>
      </c>
      <c r="N11" s="5">
        <v>0</v>
      </c>
      <c r="O11" s="26">
        <v>0</v>
      </c>
    </row>
    <row r="12" spans="1:15" ht="15.75" thickBot="1" x14ac:dyDescent="0.3">
      <c r="A12" s="3" t="s">
        <v>12</v>
      </c>
      <c r="B12" s="5">
        <v>49</v>
      </c>
      <c r="C12" s="5">
        <v>29</v>
      </c>
      <c r="D12" s="5">
        <v>1</v>
      </c>
      <c r="E12" s="26">
        <v>0</v>
      </c>
      <c r="F12" s="3" t="s">
        <v>12</v>
      </c>
      <c r="G12" s="5">
        <v>311</v>
      </c>
      <c r="H12" s="5">
        <v>61</v>
      </c>
      <c r="I12" s="5">
        <v>16</v>
      </c>
      <c r="J12" s="26">
        <v>7</v>
      </c>
      <c r="K12" s="3" t="s">
        <v>12</v>
      </c>
      <c r="L12" s="5">
        <v>23</v>
      </c>
      <c r="M12" s="5">
        <v>37</v>
      </c>
      <c r="N12" s="5">
        <v>4</v>
      </c>
      <c r="O12" s="26">
        <v>1</v>
      </c>
    </row>
    <row r="13" spans="1:15" ht="15.75" thickBot="1" x14ac:dyDescent="0.3">
      <c r="A13" s="3" t="s">
        <v>13</v>
      </c>
      <c r="B13" s="5">
        <v>11</v>
      </c>
      <c r="C13" s="5">
        <v>54</v>
      </c>
      <c r="D13" s="5">
        <v>2</v>
      </c>
      <c r="E13" s="26">
        <v>0</v>
      </c>
      <c r="F13" s="3" t="s">
        <v>13</v>
      </c>
      <c r="G13" s="5">
        <v>7</v>
      </c>
      <c r="H13" s="5">
        <v>68</v>
      </c>
      <c r="I13" s="5">
        <v>3</v>
      </c>
      <c r="J13" s="26">
        <v>1</v>
      </c>
      <c r="K13" s="3" t="s">
        <v>13</v>
      </c>
      <c r="L13" s="5">
        <v>11</v>
      </c>
      <c r="M13" s="5">
        <v>67</v>
      </c>
      <c r="N13" s="5">
        <v>0</v>
      </c>
      <c r="O13" s="26">
        <v>1</v>
      </c>
    </row>
    <row r="14" spans="1:15" ht="15.75" thickBot="1" x14ac:dyDescent="0.3">
      <c r="A14" s="3" t="s">
        <v>14</v>
      </c>
      <c r="B14" s="5">
        <v>21</v>
      </c>
      <c r="C14" s="5">
        <v>50</v>
      </c>
      <c r="D14" s="5">
        <v>0</v>
      </c>
      <c r="E14" s="26">
        <v>0</v>
      </c>
      <c r="F14" s="3" t="s">
        <v>14</v>
      </c>
      <c r="G14" s="5">
        <v>24</v>
      </c>
      <c r="H14" s="5">
        <v>58</v>
      </c>
      <c r="I14" s="5">
        <v>1</v>
      </c>
      <c r="J14" s="26">
        <v>1</v>
      </c>
      <c r="K14" s="3" t="s">
        <v>14</v>
      </c>
      <c r="L14" s="5">
        <v>33</v>
      </c>
      <c r="M14" s="5">
        <v>74</v>
      </c>
      <c r="N14" s="5">
        <v>1</v>
      </c>
      <c r="O14" s="26">
        <v>1</v>
      </c>
    </row>
    <row r="15" spans="1:15" ht="15.75" thickBot="1" x14ac:dyDescent="0.3">
      <c r="A15" s="3" t="s">
        <v>15</v>
      </c>
      <c r="B15" s="5">
        <v>9</v>
      </c>
      <c r="C15" s="5">
        <v>18</v>
      </c>
      <c r="D15" s="5">
        <v>1</v>
      </c>
      <c r="E15" s="26">
        <v>1</v>
      </c>
      <c r="F15" s="3" t="s">
        <v>15</v>
      </c>
      <c r="G15" s="5">
        <v>3</v>
      </c>
      <c r="H15" s="5">
        <v>25</v>
      </c>
      <c r="I15" s="5">
        <v>0</v>
      </c>
      <c r="J15" s="26">
        <v>1</v>
      </c>
      <c r="K15" s="3" t="s">
        <v>15</v>
      </c>
      <c r="L15" s="5">
        <v>10</v>
      </c>
      <c r="M15" s="5">
        <v>48</v>
      </c>
      <c r="N15" s="5">
        <v>3</v>
      </c>
      <c r="O15" s="26">
        <v>1</v>
      </c>
    </row>
    <row r="16" spans="1:15" ht="15.75" thickBot="1" x14ac:dyDescent="0.3">
      <c r="A16" s="3" t="s">
        <v>16</v>
      </c>
      <c r="B16" s="5">
        <v>38</v>
      </c>
      <c r="C16" s="5">
        <v>40</v>
      </c>
      <c r="D16" s="5">
        <v>1</v>
      </c>
      <c r="E16" s="26">
        <v>3</v>
      </c>
      <c r="F16" s="3" t="s">
        <v>16</v>
      </c>
      <c r="G16" s="5">
        <v>50</v>
      </c>
      <c r="H16" s="5">
        <v>39</v>
      </c>
      <c r="I16" s="5">
        <v>3</v>
      </c>
      <c r="J16" s="26">
        <v>2</v>
      </c>
      <c r="K16" s="3" t="s">
        <v>16</v>
      </c>
      <c r="L16" s="5">
        <v>133</v>
      </c>
      <c r="M16" s="5">
        <v>57</v>
      </c>
      <c r="N16" s="5">
        <v>14</v>
      </c>
      <c r="O16" s="26">
        <v>3</v>
      </c>
    </row>
    <row r="17" spans="1:15" ht="15.75" thickBot="1" x14ac:dyDescent="0.3">
      <c r="A17" s="3" t="s">
        <v>17</v>
      </c>
      <c r="B17" s="5">
        <v>6</v>
      </c>
      <c r="C17" s="5">
        <v>9</v>
      </c>
      <c r="D17" s="5">
        <v>0</v>
      </c>
      <c r="E17" s="26">
        <v>0</v>
      </c>
      <c r="F17" s="3" t="s">
        <v>17</v>
      </c>
      <c r="G17" s="5">
        <v>4</v>
      </c>
      <c r="H17" s="5">
        <v>12</v>
      </c>
      <c r="I17" s="5">
        <v>0</v>
      </c>
      <c r="J17" s="26">
        <v>0</v>
      </c>
      <c r="K17" s="3" t="s">
        <v>17</v>
      </c>
      <c r="L17" s="5">
        <v>18</v>
      </c>
      <c r="M17" s="5">
        <v>9</v>
      </c>
      <c r="N17" s="5">
        <v>0</v>
      </c>
      <c r="O17" s="26">
        <v>1</v>
      </c>
    </row>
    <row r="18" spans="1:15" ht="15.75" thickBot="1" x14ac:dyDescent="0.3">
      <c r="A18" s="7" t="s">
        <v>32</v>
      </c>
      <c r="B18" s="10" t="s">
        <v>30</v>
      </c>
      <c r="C18" s="1" t="s">
        <v>24</v>
      </c>
      <c r="D18" s="1" t="s">
        <v>3</v>
      </c>
      <c r="E18" s="1" t="s">
        <v>7</v>
      </c>
      <c r="F18" s="7" t="s">
        <v>31</v>
      </c>
      <c r="G18" s="10" t="s">
        <v>30</v>
      </c>
      <c r="H18" s="1" t="s">
        <v>24</v>
      </c>
      <c r="I18" s="1" t="s">
        <v>3</v>
      </c>
      <c r="J18" s="1" t="s">
        <v>7</v>
      </c>
      <c r="K18" s="7" t="s">
        <v>33</v>
      </c>
      <c r="L18" s="10" t="s">
        <v>30</v>
      </c>
      <c r="M18" s="1" t="s">
        <v>24</v>
      </c>
      <c r="N18" s="1" t="s">
        <v>3</v>
      </c>
      <c r="O18" s="1" t="s">
        <v>7</v>
      </c>
    </row>
    <row r="19" spans="1:15" ht="15.75" thickBot="1" x14ac:dyDescent="0.3">
      <c r="A19" s="3" t="s">
        <v>1</v>
      </c>
      <c r="B19" s="5">
        <v>10</v>
      </c>
      <c r="C19" s="5">
        <v>88</v>
      </c>
      <c r="D19" s="5">
        <v>1</v>
      </c>
      <c r="E19" s="26">
        <v>2</v>
      </c>
      <c r="F19" s="3" t="s">
        <v>1</v>
      </c>
      <c r="G19" s="5">
        <v>18</v>
      </c>
      <c r="H19" s="5">
        <v>107</v>
      </c>
      <c r="I19" s="5">
        <v>2</v>
      </c>
      <c r="J19" s="26">
        <v>3</v>
      </c>
      <c r="K19" s="3" t="s">
        <v>1</v>
      </c>
      <c r="L19" s="5">
        <v>5</v>
      </c>
      <c r="M19" s="5">
        <v>70</v>
      </c>
      <c r="N19" s="5">
        <v>2</v>
      </c>
      <c r="O19" s="26">
        <v>1</v>
      </c>
    </row>
    <row r="20" spans="1:15" ht="15.75" thickBot="1" x14ac:dyDescent="0.3">
      <c r="A20" s="3" t="s">
        <v>2</v>
      </c>
      <c r="B20" s="5">
        <v>1</v>
      </c>
      <c r="C20" s="5">
        <v>29</v>
      </c>
      <c r="D20" s="5">
        <v>9</v>
      </c>
      <c r="E20" s="26">
        <v>0</v>
      </c>
      <c r="F20" s="3" t="s">
        <v>2</v>
      </c>
      <c r="G20" s="5">
        <v>1</v>
      </c>
      <c r="H20" s="5">
        <v>144</v>
      </c>
      <c r="I20" s="5">
        <v>3</v>
      </c>
      <c r="J20" s="26">
        <v>1</v>
      </c>
      <c r="K20" s="3" t="s">
        <v>2</v>
      </c>
      <c r="L20" s="5">
        <v>2</v>
      </c>
      <c r="M20" s="5">
        <v>63</v>
      </c>
      <c r="N20" s="5">
        <v>26</v>
      </c>
      <c r="O20" s="26">
        <v>0</v>
      </c>
    </row>
    <row r="21" spans="1:15" ht="15.75" thickBot="1" x14ac:dyDescent="0.3">
      <c r="A21" s="3" t="s">
        <v>4</v>
      </c>
      <c r="B21" s="5">
        <v>20</v>
      </c>
      <c r="C21" s="5">
        <v>12</v>
      </c>
      <c r="D21" s="5">
        <v>0</v>
      </c>
      <c r="E21" s="26">
        <v>1</v>
      </c>
      <c r="F21" s="3" t="s">
        <v>4</v>
      </c>
      <c r="G21" s="5">
        <v>78</v>
      </c>
      <c r="H21" s="5">
        <v>23</v>
      </c>
      <c r="I21" s="5">
        <v>2</v>
      </c>
      <c r="J21" s="26">
        <v>1</v>
      </c>
      <c r="K21" s="3" t="s">
        <v>4</v>
      </c>
      <c r="L21" s="5">
        <v>28</v>
      </c>
      <c r="M21" s="5">
        <v>14</v>
      </c>
      <c r="N21" s="5">
        <v>1</v>
      </c>
      <c r="O21" s="26">
        <v>2</v>
      </c>
    </row>
    <row r="22" spans="1:15" ht="15.75" thickBot="1" x14ac:dyDescent="0.3">
      <c r="A22" s="3" t="s">
        <v>5</v>
      </c>
      <c r="B22" s="5">
        <v>34</v>
      </c>
      <c r="C22" s="5">
        <v>54</v>
      </c>
      <c r="D22" s="5">
        <v>1</v>
      </c>
      <c r="E22" s="26">
        <v>1</v>
      </c>
      <c r="F22" s="3" t="s">
        <v>5</v>
      </c>
      <c r="G22" s="5">
        <v>33</v>
      </c>
      <c r="H22" s="5">
        <v>87</v>
      </c>
      <c r="I22" s="5">
        <v>0</v>
      </c>
      <c r="J22" s="26">
        <v>0</v>
      </c>
      <c r="K22" s="3" t="s">
        <v>5</v>
      </c>
      <c r="L22" s="5">
        <v>28</v>
      </c>
      <c r="M22" s="5">
        <v>56</v>
      </c>
      <c r="N22" s="5">
        <v>0</v>
      </c>
      <c r="O22" s="26">
        <v>0</v>
      </c>
    </row>
    <row r="23" spans="1:15" ht="15.75" thickBot="1" x14ac:dyDescent="0.3">
      <c r="A23" s="3" t="s">
        <v>6</v>
      </c>
      <c r="B23" s="5">
        <v>34</v>
      </c>
      <c r="C23" s="5">
        <v>122</v>
      </c>
      <c r="D23" s="5">
        <v>1</v>
      </c>
      <c r="E23" s="26">
        <v>1</v>
      </c>
      <c r="F23" s="3" t="s">
        <v>6</v>
      </c>
      <c r="G23" s="5">
        <v>30</v>
      </c>
      <c r="H23" s="5">
        <v>79</v>
      </c>
      <c r="I23" s="5">
        <v>3</v>
      </c>
      <c r="J23" s="26">
        <v>1</v>
      </c>
      <c r="K23" s="3" t="s">
        <v>6</v>
      </c>
      <c r="L23" s="5">
        <v>51</v>
      </c>
      <c r="M23" s="5">
        <v>66</v>
      </c>
      <c r="N23" s="5">
        <v>3</v>
      </c>
      <c r="O23" s="26">
        <v>0</v>
      </c>
    </row>
    <row r="24" spans="1:15" ht="15.75" thickBot="1" x14ac:dyDescent="0.3">
      <c r="A24" s="3" t="s">
        <v>8</v>
      </c>
      <c r="B24" s="5">
        <v>23</v>
      </c>
      <c r="C24" s="5">
        <v>61</v>
      </c>
      <c r="D24" s="5">
        <v>1</v>
      </c>
      <c r="E24" s="26">
        <v>1</v>
      </c>
      <c r="F24" s="3" t="s">
        <v>8</v>
      </c>
      <c r="G24" s="5">
        <v>38</v>
      </c>
      <c r="H24" s="5">
        <v>50</v>
      </c>
      <c r="I24" s="5">
        <v>1</v>
      </c>
      <c r="J24" s="26">
        <v>3</v>
      </c>
      <c r="K24" s="3" t="s">
        <v>8</v>
      </c>
      <c r="L24" s="5">
        <v>20</v>
      </c>
      <c r="M24" s="5">
        <v>33</v>
      </c>
      <c r="N24" s="5">
        <v>1</v>
      </c>
      <c r="O24" s="26">
        <v>1</v>
      </c>
    </row>
    <row r="25" spans="1:15" ht="15.75" thickBot="1" x14ac:dyDescent="0.3">
      <c r="A25" s="3" t="s">
        <v>9</v>
      </c>
      <c r="B25" s="5">
        <v>29</v>
      </c>
      <c r="C25" s="5">
        <v>40</v>
      </c>
      <c r="D25" s="5">
        <v>0</v>
      </c>
      <c r="E25" s="26">
        <v>0</v>
      </c>
      <c r="F25" s="3" t="s">
        <v>9</v>
      </c>
      <c r="G25" s="5">
        <v>110</v>
      </c>
      <c r="H25" s="5">
        <v>177</v>
      </c>
      <c r="I25" s="5">
        <v>1</v>
      </c>
      <c r="J25" s="26">
        <v>5</v>
      </c>
      <c r="K25" s="3" t="s">
        <v>9</v>
      </c>
      <c r="L25" s="5">
        <v>116</v>
      </c>
      <c r="M25" s="5">
        <v>40</v>
      </c>
      <c r="N25" s="5">
        <v>1</v>
      </c>
      <c r="O25" s="26">
        <v>9</v>
      </c>
    </row>
    <row r="26" spans="1:15" ht="15.75" thickBot="1" x14ac:dyDescent="0.3">
      <c r="A26" s="3" t="s">
        <v>10</v>
      </c>
      <c r="B26" s="5">
        <v>93</v>
      </c>
      <c r="C26" s="5">
        <v>50</v>
      </c>
      <c r="D26" s="5">
        <v>2</v>
      </c>
      <c r="E26" s="26">
        <v>2</v>
      </c>
      <c r="F26" s="3" t="s">
        <v>10</v>
      </c>
      <c r="G26" s="5">
        <v>143</v>
      </c>
      <c r="H26" s="5">
        <v>56</v>
      </c>
      <c r="I26" s="5">
        <v>9</v>
      </c>
      <c r="J26" s="26">
        <v>6</v>
      </c>
      <c r="K26" s="3" t="s">
        <v>10</v>
      </c>
      <c r="L26" s="5">
        <v>108</v>
      </c>
      <c r="M26" s="5">
        <v>54</v>
      </c>
      <c r="N26" s="5">
        <v>4</v>
      </c>
      <c r="O26" s="26">
        <v>6</v>
      </c>
    </row>
    <row r="27" spans="1:15" ht="15.75" thickBot="1" x14ac:dyDescent="0.3">
      <c r="A27" s="3" t="s">
        <v>21</v>
      </c>
      <c r="B27" s="5">
        <v>0</v>
      </c>
      <c r="C27" s="5">
        <v>1</v>
      </c>
      <c r="D27" s="5">
        <v>0</v>
      </c>
      <c r="E27" s="26">
        <v>0</v>
      </c>
      <c r="F27" s="3" t="s">
        <v>21</v>
      </c>
      <c r="G27" s="5">
        <v>0</v>
      </c>
      <c r="H27" s="5">
        <v>53</v>
      </c>
      <c r="I27" s="5">
        <v>7</v>
      </c>
      <c r="J27" s="26">
        <v>0</v>
      </c>
      <c r="K27" s="11" t="s">
        <v>21</v>
      </c>
      <c r="L27" s="27">
        <v>4</v>
      </c>
      <c r="M27" s="27">
        <v>96</v>
      </c>
      <c r="N27" s="27">
        <v>8</v>
      </c>
      <c r="O27" s="28">
        <v>1</v>
      </c>
    </row>
    <row r="28" spans="1:15" ht="15.75" thickBot="1" x14ac:dyDescent="0.3">
      <c r="A28" s="3" t="s">
        <v>11</v>
      </c>
      <c r="B28" s="5">
        <v>1</v>
      </c>
      <c r="C28" s="5">
        <v>84</v>
      </c>
      <c r="D28" s="5">
        <v>0</v>
      </c>
      <c r="E28" s="26">
        <v>0</v>
      </c>
      <c r="F28" s="3" t="s">
        <v>11</v>
      </c>
      <c r="G28" s="5">
        <v>1</v>
      </c>
      <c r="H28" s="5">
        <v>112</v>
      </c>
      <c r="I28" s="5">
        <v>0</v>
      </c>
      <c r="J28" s="26">
        <v>0</v>
      </c>
      <c r="K28" s="3" t="s">
        <v>11</v>
      </c>
      <c r="L28" s="5">
        <v>3</v>
      </c>
      <c r="M28" s="5">
        <v>72</v>
      </c>
      <c r="N28" s="5">
        <v>0</v>
      </c>
      <c r="O28" s="26">
        <v>0</v>
      </c>
    </row>
    <row r="29" spans="1:15" ht="15.75" thickBot="1" x14ac:dyDescent="0.3">
      <c r="A29" s="3" t="s">
        <v>12</v>
      </c>
      <c r="B29" s="5">
        <v>15</v>
      </c>
      <c r="C29" s="5">
        <v>22</v>
      </c>
      <c r="D29" s="5">
        <v>7</v>
      </c>
      <c r="E29" s="26">
        <v>0</v>
      </c>
      <c r="F29" s="3" t="s">
        <v>12</v>
      </c>
      <c r="G29" s="5">
        <v>19</v>
      </c>
      <c r="H29" s="5">
        <v>74</v>
      </c>
      <c r="I29" s="5">
        <v>6</v>
      </c>
      <c r="J29" s="26">
        <v>2</v>
      </c>
      <c r="K29" s="3" t="s">
        <v>12</v>
      </c>
      <c r="L29" s="5">
        <v>9</v>
      </c>
      <c r="M29" s="5">
        <v>38</v>
      </c>
      <c r="N29" s="5">
        <v>1</v>
      </c>
      <c r="O29" s="26">
        <v>1</v>
      </c>
    </row>
    <row r="30" spans="1:15" ht="15.75" thickBot="1" x14ac:dyDescent="0.3">
      <c r="A30" s="3" t="s">
        <v>13</v>
      </c>
      <c r="B30" s="5">
        <v>12</v>
      </c>
      <c r="C30" s="5">
        <v>116</v>
      </c>
      <c r="D30" s="5">
        <v>2</v>
      </c>
      <c r="E30" s="26">
        <v>0</v>
      </c>
      <c r="F30" s="3" t="s">
        <v>13</v>
      </c>
      <c r="G30" s="5">
        <v>19</v>
      </c>
      <c r="H30" s="5">
        <v>112</v>
      </c>
      <c r="I30" s="5">
        <v>3</v>
      </c>
      <c r="J30" s="26">
        <v>1</v>
      </c>
      <c r="K30" s="3" t="s">
        <v>13</v>
      </c>
      <c r="L30" s="5">
        <v>20</v>
      </c>
      <c r="M30" s="5">
        <v>60</v>
      </c>
      <c r="N30" s="5">
        <v>2</v>
      </c>
      <c r="O30" s="26">
        <v>5</v>
      </c>
    </row>
    <row r="31" spans="1:15" ht="15.75" thickBot="1" x14ac:dyDescent="0.3">
      <c r="A31" s="3" t="s">
        <v>14</v>
      </c>
      <c r="B31" s="5">
        <v>22</v>
      </c>
      <c r="C31" s="5">
        <v>64</v>
      </c>
      <c r="D31" s="5">
        <v>0</v>
      </c>
      <c r="E31" s="26">
        <v>0</v>
      </c>
      <c r="F31" s="3" t="s">
        <v>14</v>
      </c>
      <c r="G31" s="5">
        <v>62</v>
      </c>
      <c r="H31" s="5">
        <v>69</v>
      </c>
      <c r="I31" s="5">
        <v>1</v>
      </c>
      <c r="J31" s="26">
        <v>2</v>
      </c>
      <c r="K31" s="3" t="s">
        <v>14</v>
      </c>
      <c r="L31" s="5">
        <v>52</v>
      </c>
      <c r="M31" s="5">
        <v>90</v>
      </c>
      <c r="N31" s="5">
        <v>1</v>
      </c>
      <c r="O31" s="26">
        <v>6</v>
      </c>
    </row>
    <row r="32" spans="1:15" ht="15.75" thickBot="1" x14ac:dyDescent="0.3">
      <c r="A32" s="3" t="s">
        <v>15</v>
      </c>
      <c r="B32" s="5">
        <v>4</v>
      </c>
      <c r="C32" s="5">
        <v>27</v>
      </c>
      <c r="D32" s="5">
        <v>1</v>
      </c>
      <c r="E32" s="26">
        <v>2</v>
      </c>
      <c r="F32" s="3" t="s">
        <v>15</v>
      </c>
      <c r="G32" s="5">
        <v>4</v>
      </c>
      <c r="H32" s="5">
        <v>75</v>
      </c>
      <c r="I32" s="5">
        <v>0</v>
      </c>
      <c r="J32" s="26">
        <v>0</v>
      </c>
      <c r="K32" s="3" t="s">
        <v>15</v>
      </c>
      <c r="L32" s="5">
        <v>10</v>
      </c>
      <c r="M32" s="5">
        <v>31</v>
      </c>
      <c r="N32" s="5">
        <v>2</v>
      </c>
      <c r="O32" s="26">
        <v>1</v>
      </c>
    </row>
    <row r="33" spans="1:15" ht="15.75" thickBot="1" x14ac:dyDescent="0.3">
      <c r="A33" s="3" t="s">
        <v>16</v>
      </c>
      <c r="B33" s="5">
        <v>52</v>
      </c>
      <c r="C33" s="5">
        <v>34</v>
      </c>
      <c r="D33" s="5">
        <v>4</v>
      </c>
      <c r="E33" s="26">
        <v>4</v>
      </c>
      <c r="F33" s="3" t="s">
        <v>16</v>
      </c>
      <c r="G33" s="5">
        <v>96</v>
      </c>
      <c r="H33" s="5">
        <v>85</v>
      </c>
      <c r="I33" s="5">
        <v>1</v>
      </c>
      <c r="J33" s="26">
        <v>4</v>
      </c>
      <c r="K33" s="3" t="s">
        <v>16</v>
      </c>
      <c r="L33" s="5">
        <v>79</v>
      </c>
      <c r="M33" s="5">
        <v>52</v>
      </c>
      <c r="N33" s="5">
        <v>15</v>
      </c>
      <c r="O33" s="26">
        <v>9</v>
      </c>
    </row>
    <row r="34" spans="1:15" ht="15.75" thickBot="1" x14ac:dyDescent="0.3">
      <c r="A34" s="3" t="s">
        <v>17</v>
      </c>
      <c r="B34" s="5">
        <v>9</v>
      </c>
      <c r="C34" s="5">
        <v>11</v>
      </c>
      <c r="D34" s="5">
        <v>0</v>
      </c>
      <c r="E34" s="26">
        <v>0</v>
      </c>
      <c r="F34" s="3" t="s">
        <v>17</v>
      </c>
      <c r="G34" s="5">
        <v>26</v>
      </c>
      <c r="H34" s="5">
        <v>53</v>
      </c>
      <c r="I34" s="5">
        <v>0</v>
      </c>
      <c r="J34" s="26">
        <v>2</v>
      </c>
      <c r="K34" s="3" t="s">
        <v>17</v>
      </c>
      <c r="L34" s="5">
        <v>12</v>
      </c>
      <c r="M34" s="5">
        <v>31</v>
      </c>
      <c r="N34" s="5">
        <v>1</v>
      </c>
      <c r="O34" s="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A5DD-EC07-4218-809C-CD88A9830165}">
  <dimension ref="A1:DO99"/>
  <sheetViews>
    <sheetView topLeftCell="CR23" zoomScale="84" zoomScaleNormal="84" workbookViewId="0">
      <selection activeCell="W17" sqref="W17"/>
    </sheetView>
  </sheetViews>
  <sheetFormatPr defaultRowHeight="15" x14ac:dyDescent="0.25"/>
  <cols>
    <col min="1" max="1" width="15" customWidth="1"/>
    <col min="2" max="2" width="19.140625" customWidth="1"/>
    <col min="3" max="3" width="5.140625" customWidth="1"/>
    <col min="4" max="4" width="6.140625" customWidth="1"/>
    <col min="5" max="5" width="9.42578125" customWidth="1"/>
    <col min="6" max="6" width="10.140625" customWidth="1"/>
    <col min="7" max="7" width="9.140625" customWidth="1"/>
    <col min="8" max="8" width="19.140625" hidden="1" customWidth="1"/>
    <col min="9" max="9" width="10.28515625" hidden="1" customWidth="1"/>
    <col min="10" max="11" width="3.7109375" hidden="1" customWidth="1"/>
    <col min="12" max="13" width="2.85546875" hidden="1" customWidth="1"/>
    <col min="14" max="14" width="11.140625" hidden="1" customWidth="1"/>
    <col min="15" max="16" width="3.7109375" hidden="1" customWidth="1"/>
    <col min="17" max="18" width="2.85546875" hidden="1" customWidth="1"/>
    <col min="20" max="20" width="13.28515625" bestFit="1" customWidth="1"/>
    <col min="21" max="24" width="5.7109375" bestFit="1" customWidth="1"/>
    <col min="25" max="25" width="3" bestFit="1" customWidth="1"/>
    <col min="26" max="26" width="5.7109375" bestFit="1" customWidth="1"/>
    <col min="27" max="27" width="17.5703125" customWidth="1"/>
    <col min="28" max="28" width="20.140625" customWidth="1"/>
    <col min="29" max="29" width="21" customWidth="1"/>
    <col min="30" max="30" width="17.85546875" customWidth="1"/>
    <col min="32" max="32" width="19.140625" customWidth="1"/>
    <col min="33" max="33" width="5.7109375" customWidth="1"/>
    <col min="34" max="35" width="5.85546875" customWidth="1"/>
    <col min="36" max="36" width="5.7109375" customWidth="1"/>
    <col min="37" max="37" width="8.140625" customWidth="1"/>
    <col min="38" max="38" width="19.140625" customWidth="1"/>
    <col min="39" max="42" width="6.7109375" style="9" customWidth="1"/>
    <col min="43" max="43" width="9.140625" customWidth="1"/>
    <col min="44" max="44" width="19.140625" hidden="1" customWidth="1"/>
    <col min="45" max="45" width="2.7109375" hidden="1" customWidth="1"/>
    <col min="46" max="49" width="5.7109375" hidden="1" customWidth="1"/>
    <col min="50" max="50" width="2.7109375" hidden="1" customWidth="1"/>
    <col min="51" max="54" width="5.7109375" hidden="1" customWidth="1"/>
    <col min="55" max="55" width="5.7109375" customWidth="1"/>
    <col min="56" max="56" width="19.140625" bestFit="1" customWidth="1"/>
    <col min="57" max="61" width="5.7109375" customWidth="1"/>
    <col min="62" max="62" width="19.140625" customWidth="1"/>
    <col min="63" max="66" width="5.7109375" customWidth="1"/>
    <col min="67" max="70" width="6.7109375" customWidth="1"/>
    <col min="71" max="82" width="5.7109375" customWidth="1"/>
    <col min="83" max="83" width="19.140625" bestFit="1" customWidth="1"/>
    <col min="84" max="91" width="5.7109375" bestFit="1" customWidth="1"/>
    <col min="93" max="93" width="19.140625" bestFit="1" customWidth="1"/>
    <col min="103" max="103" width="19.140625" bestFit="1" customWidth="1"/>
    <col min="104" max="107" width="6.7109375" customWidth="1"/>
    <col min="108" max="116" width="9.140625" customWidth="1"/>
  </cols>
  <sheetData>
    <row r="1" spans="1:119" ht="15.75" thickBot="1" x14ac:dyDescent="0.3">
      <c r="T1" s="124" t="s">
        <v>129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F1" s="124" t="s">
        <v>130</v>
      </c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4"/>
      <c r="BS1" s="124"/>
      <c r="BT1" s="124"/>
      <c r="BU1" s="124"/>
      <c r="BV1" s="124"/>
      <c r="BW1" s="124"/>
      <c r="BX1" s="124"/>
      <c r="BY1" s="124"/>
      <c r="BZ1" s="124"/>
      <c r="CA1" s="124"/>
      <c r="CB1" s="124"/>
      <c r="CC1" s="124"/>
      <c r="CD1" s="124"/>
      <c r="CE1" s="124"/>
      <c r="CF1" s="124"/>
      <c r="CG1" s="124"/>
      <c r="CH1" s="124"/>
      <c r="CI1" s="124"/>
      <c r="CJ1" s="124"/>
      <c r="CK1" s="124"/>
      <c r="CL1" s="124"/>
      <c r="CM1" s="124"/>
      <c r="CN1" s="124"/>
      <c r="CO1" s="124"/>
      <c r="CP1" s="124"/>
      <c r="CQ1" s="124"/>
      <c r="CR1" s="124"/>
      <c r="CS1" s="124"/>
      <c r="CT1" s="124"/>
      <c r="CU1" s="124"/>
      <c r="CV1" s="124"/>
      <c r="CW1" s="124"/>
      <c r="CX1" s="124"/>
      <c r="CY1" s="124"/>
      <c r="CZ1" s="124"/>
      <c r="DA1" s="124"/>
      <c r="DB1" s="124"/>
      <c r="DC1" s="124"/>
      <c r="DE1" s="122" t="s">
        <v>131</v>
      </c>
      <c r="DF1" s="122"/>
      <c r="DG1" s="122"/>
      <c r="DH1" s="122"/>
      <c r="DI1" s="122"/>
      <c r="DM1" s="60" t="s">
        <v>132</v>
      </c>
    </row>
    <row r="2" spans="1:119" ht="15.75" thickBot="1" x14ac:dyDescent="0.3">
      <c r="A2" s="72" t="s">
        <v>127</v>
      </c>
      <c r="H2" t="s">
        <v>53</v>
      </c>
      <c r="T2" t="s">
        <v>56</v>
      </c>
      <c r="AF2" t="s">
        <v>54</v>
      </c>
      <c r="AL2" s="72" t="s">
        <v>128</v>
      </c>
      <c r="AR2" t="s">
        <v>124</v>
      </c>
      <c r="BD2" s="99" t="s">
        <v>133</v>
      </c>
      <c r="BE2" s="100"/>
      <c r="BF2" s="100"/>
      <c r="BG2" s="100"/>
      <c r="BH2" s="101"/>
      <c r="BJ2" t="s">
        <v>55</v>
      </c>
      <c r="BU2" t="s">
        <v>135</v>
      </c>
      <c r="CF2" t="s">
        <v>57</v>
      </c>
      <c r="CP2" t="s">
        <v>58</v>
      </c>
      <c r="CZ2" t="s">
        <v>59</v>
      </c>
      <c r="DF2" t="s">
        <v>60</v>
      </c>
      <c r="DH2" t="s">
        <v>61</v>
      </c>
      <c r="DM2" t="s">
        <v>62</v>
      </c>
    </row>
    <row r="3" spans="1:119" ht="15.75" thickBot="1" x14ac:dyDescent="0.3">
      <c r="A3" s="73" t="s">
        <v>63</v>
      </c>
      <c r="B3" s="74" t="s">
        <v>48</v>
      </c>
      <c r="C3" s="74" t="s">
        <v>29</v>
      </c>
      <c r="D3" s="74" t="s">
        <v>49</v>
      </c>
      <c r="E3" s="74" t="s">
        <v>50</v>
      </c>
      <c r="F3" s="75" t="s">
        <v>51</v>
      </c>
      <c r="H3" s="29" t="s">
        <v>48</v>
      </c>
      <c r="I3" s="24" t="s">
        <v>63</v>
      </c>
      <c r="J3" s="24" t="s">
        <v>64</v>
      </c>
      <c r="K3" s="24" t="s">
        <v>65</v>
      </c>
      <c r="L3" s="24" t="s">
        <v>66</v>
      </c>
      <c r="M3" s="24" t="s">
        <v>67</v>
      </c>
      <c r="N3" s="24" t="s">
        <v>63</v>
      </c>
      <c r="O3" s="24" t="s">
        <v>64</v>
      </c>
      <c r="P3" s="24" t="s">
        <v>65</v>
      </c>
      <c r="Q3" s="24" t="s">
        <v>66</v>
      </c>
      <c r="R3" s="25" t="s">
        <v>67</v>
      </c>
      <c r="T3" s="39" t="s">
        <v>71</v>
      </c>
      <c r="U3" s="24" t="s">
        <v>64</v>
      </c>
      <c r="V3" s="24" t="s">
        <v>65</v>
      </c>
      <c r="W3" s="24" t="s">
        <v>66</v>
      </c>
      <c r="X3" s="24" t="s">
        <v>67</v>
      </c>
      <c r="Y3" s="16"/>
      <c r="Z3" s="16"/>
      <c r="AA3" s="16"/>
      <c r="AB3" s="16"/>
      <c r="AC3" s="16"/>
      <c r="AD3" s="17"/>
      <c r="AF3" s="30"/>
      <c r="AG3" s="31" t="s">
        <v>64</v>
      </c>
      <c r="AH3" s="31" t="s">
        <v>65</v>
      </c>
      <c r="AI3" s="31" t="s">
        <v>66</v>
      </c>
      <c r="AJ3" s="32" t="s">
        <v>67</v>
      </c>
      <c r="AK3" s="33"/>
      <c r="AL3" s="73" t="s">
        <v>48</v>
      </c>
      <c r="AM3" s="34" t="s">
        <v>64</v>
      </c>
      <c r="AN3" s="34" t="s">
        <v>65</v>
      </c>
      <c r="AO3" s="34" t="s">
        <v>66</v>
      </c>
      <c r="AP3" s="35" t="s">
        <v>67</v>
      </c>
      <c r="AR3" s="29" t="s">
        <v>48</v>
      </c>
      <c r="AS3" s="36" t="s">
        <v>68</v>
      </c>
      <c r="AT3" s="37" t="s">
        <v>64</v>
      </c>
      <c r="AU3" s="37" t="s">
        <v>65</v>
      </c>
      <c r="AV3" s="37" t="s">
        <v>66</v>
      </c>
      <c r="AW3" s="37" t="s">
        <v>67</v>
      </c>
      <c r="AX3" s="36" t="s">
        <v>68</v>
      </c>
      <c r="AY3" s="37" t="s">
        <v>64</v>
      </c>
      <c r="AZ3" s="37" t="s">
        <v>65</v>
      </c>
      <c r="BA3" s="37" t="s">
        <v>66</v>
      </c>
      <c r="BB3" s="38" t="s">
        <v>67</v>
      </c>
      <c r="BC3" s="12"/>
      <c r="BD3" s="73" t="s">
        <v>48</v>
      </c>
      <c r="BE3" s="34" t="s">
        <v>64</v>
      </c>
      <c r="BF3" s="34" t="s">
        <v>65</v>
      </c>
      <c r="BG3" s="34" t="s">
        <v>66</v>
      </c>
      <c r="BH3" s="35" t="s">
        <v>67</v>
      </c>
      <c r="BI3" s="12"/>
      <c r="BJ3" s="15"/>
      <c r="BK3" s="125" t="s">
        <v>69</v>
      </c>
      <c r="BL3" s="125"/>
      <c r="BM3" s="125"/>
      <c r="BN3" s="125"/>
      <c r="BO3" s="125" t="s">
        <v>70</v>
      </c>
      <c r="BP3" s="125"/>
      <c r="BQ3" s="125"/>
      <c r="BR3" s="126"/>
      <c r="BS3" s="12"/>
      <c r="BT3" s="12"/>
      <c r="BU3" s="15"/>
      <c r="BV3" s="125" t="s">
        <v>134</v>
      </c>
      <c r="BW3" s="125"/>
      <c r="BX3" s="125"/>
      <c r="BY3" s="125"/>
      <c r="BZ3" s="125" t="s">
        <v>70</v>
      </c>
      <c r="CA3" s="125"/>
      <c r="CB3" s="125"/>
      <c r="CC3" s="126"/>
      <c r="CD3" s="9"/>
      <c r="CF3" s="123" t="s">
        <v>72</v>
      </c>
      <c r="CG3" s="123"/>
      <c r="CH3" s="123" t="s">
        <v>73</v>
      </c>
      <c r="CI3" s="123"/>
      <c r="CJ3" s="123" t="s">
        <v>72</v>
      </c>
      <c r="CK3" s="123"/>
      <c r="CL3" s="123" t="s">
        <v>73</v>
      </c>
      <c r="CM3" s="123"/>
      <c r="CO3" s="40" t="s">
        <v>74</v>
      </c>
      <c r="CP3" s="40"/>
      <c r="CQ3" s="40"/>
      <c r="CR3" s="40"/>
      <c r="CS3" s="40"/>
      <c r="CY3" s="41" t="s">
        <v>48</v>
      </c>
      <c r="CZ3" t="s">
        <v>75</v>
      </c>
      <c r="DA3" t="s">
        <v>76</v>
      </c>
      <c r="DB3" t="s">
        <v>77</v>
      </c>
      <c r="DC3" t="s">
        <v>78</v>
      </c>
      <c r="DF3" s="121" t="s">
        <v>79</v>
      </c>
      <c r="DG3" s="121"/>
      <c r="DH3" t="s">
        <v>80</v>
      </c>
      <c r="DI3" t="s">
        <v>81</v>
      </c>
      <c r="DM3" t="s">
        <v>82</v>
      </c>
    </row>
    <row r="4" spans="1:119" ht="15.75" thickBot="1" x14ac:dyDescent="0.3">
      <c r="A4" s="39" t="s">
        <v>83</v>
      </c>
      <c r="B4" s="76" t="s">
        <v>1</v>
      </c>
      <c r="C4" s="77">
        <v>6</v>
      </c>
      <c r="D4" s="77">
        <v>32</v>
      </c>
      <c r="E4" s="77">
        <v>2</v>
      </c>
      <c r="F4" s="78">
        <v>0</v>
      </c>
      <c r="H4" s="42" t="s">
        <v>1</v>
      </c>
      <c r="I4" s="4" t="s">
        <v>84</v>
      </c>
      <c r="J4" s="5">
        <v>6</v>
      </c>
      <c r="K4" s="5">
        <v>32</v>
      </c>
      <c r="L4" s="5">
        <v>2</v>
      </c>
      <c r="M4" s="5">
        <v>0</v>
      </c>
      <c r="N4" s="4" t="s">
        <v>85</v>
      </c>
      <c r="O4" s="5">
        <v>4</v>
      </c>
      <c r="P4" s="5">
        <v>43</v>
      </c>
      <c r="Q4" s="5">
        <v>1</v>
      </c>
      <c r="R4" s="26">
        <v>0</v>
      </c>
      <c r="T4" s="42" t="s">
        <v>86</v>
      </c>
      <c r="U4" s="52">
        <v>2</v>
      </c>
      <c r="V4" s="53">
        <v>14</v>
      </c>
      <c r="W4" s="53">
        <v>0</v>
      </c>
      <c r="X4" s="52">
        <v>0</v>
      </c>
      <c r="AA4" t="s">
        <v>87</v>
      </c>
      <c r="AB4" t="s">
        <v>88</v>
      </c>
      <c r="AC4" t="s">
        <v>89</v>
      </c>
      <c r="AD4" s="19" t="s">
        <v>90</v>
      </c>
      <c r="AF4" s="43" t="s">
        <v>70</v>
      </c>
      <c r="AG4" s="44">
        <f>MAX(C4:C99)</f>
        <v>311</v>
      </c>
      <c r="AH4" s="44">
        <f>MAX(D4:D99)</f>
        <v>177</v>
      </c>
      <c r="AI4" s="44">
        <f>MAX(E4:E99)</f>
        <v>26</v>
      </c>
      <c r="AJ4" s="45">
        <f>MAX(F4:F99)</f>
        <v>9</v>
      </c>
      <c r="AL4" s="39" t="s">
        <v>1</v>
      </c>
      <c r="AM4" s="83">
        <f t="shared" ref="AM4:AM35" si="0">(AG$4-C4)/(AG$4-AG$5)</f>
        <v>0.98070739549839225</v>
      </c>
      <c r="AN4" s="84">
        <f t="shared" ref="AN4:AN35" si="1">(D4-AH$5)/(AH$4-AH$5)</f>
        <v>0.1807909604519774</v>
      </c>
      <c r="AO4" s="84">
        <f t="shared" ref="AO4:AO35" si="2">(E4-AI$5)/(AI$4-AI$5)</f>
        <v>7.6923076923076927E-2</v>
      </c>
      <c r="AP4" s="85">
        <f t="shared" ref="AP4:AP35" si="3">(AJ$4-F4)/(AJ$4-AJ$5)</f>
        <v>1</v>
      </c>
      <c r="AR4" s="42" t="s">
        <v>1</v>
      </c>
      <c r="AS4">
        <v>0</v>
      </c>
      <c r="AT4" s="48">
        <v>0.98070739549839203</v>
      </c>
      <c r="AU4" s="48">
        <v>0.1807909604519774</v>
      </c>
      <c r="AV4" s="48">
        <v>0.92307692307692313</v>
      </c>
      <c r="AW4" s="48">
        <v>0</v>
      </c>
      <c r="AX4">
        <v>1</v>
      </c>
      <c r="AY4" s="48">
        <v>0.98713826366559487</v>
      </c>
      <c r="AZ4" s="48">
        <v>0.24293785310734464</v>
      </c>
      <c r="BA4" s="48">
        <v>0.96153846153846156</v>
      </c>
      <c r="BB4" s="49">
        <v>0</v>
      </c>
      <c r="BC4" s="48"/>
      <c r="BD4" s="39" t="s">
        <v>1</v>
      </c>
      <c r="BE4" s="83">
        <f>1-AM4</f>
        <v>1.9292604501607746E-2</v>
      </c>
      <c r="BF4" s="84">
        <f t="shared" ref="BF4:BH4" si="4">1-AN4</f>
        <v>0.8192090395480226</v>
      </c>
      <c r="BG4" s="84">
        <f t="shared" si="4"/>
        <v>0.92307692307692313</v>
      </c>
      <c r="BH4" s="85">
        <f t="shared" si="4"/>
        <v>0</v>
      </c>
      <c r="BI4" s="48"/>
      <c r="BJ4" s="15"/>
      <c r="BK4" s="50" t="s">
        <v>64</v>
      </c>
      <c r="BL4" s="50" t="s">
        <v>65</v>
      </c>
      <c r="BM4" s="50" t="s">
        <v>66</v>
      </c>
      <c r="BN4" s="50" t="s">
        <v>67</v>
      </c>
      <c r="BO4" s="50" t="s">
        <v>64</v>
      </c>
      <c r="BP4" s="50" t="s">
        <v>65</v>
      </c>
      <c r="BQ4" s="50" t="s">
        <v>66</v>
      </c>
      <c r="BR4" s="51" t="s">
        <v>67</v>
      </c>
      <c r="BS4" s="48"/>
      <c r="BT4" s="48"/>
      <c r="BU4" s="15"/>
      <c r="BV4" s="50" t="s">
        <v>64</v>
      </c>
      <c r="BW4" s="50" t="s">
        <v>65</v>
      </c>
      <c r="BX4" s="50" t="s">
        <v>66</v>
      </c>
      <c r="BY4" s="50" t="s">
        <v>67</v>
      </c>
      <c r="BZ4" s="50" t="s">
        <v>64</v>
      </c>
      <c r="CA4" s="50" t="s">
        <v>65</v>
      </c>
      <c r="CB4" s="50" t="s">
        <v>66</v>
      </c>
      <c r="CC4" s="51" t="s">
        <v>67</v>
      </c>
      <c r="CD4" s="33"/>
      <c r="CE4" s="33"/>
      <c r="CF4" s="54">
        <f>U35</f>
        <v>1.4814814814814815E-2</v>
      </c>
      <c r="CG4" s="54">
        <f>U36</f>
        <v>6.6666666666666666E-2</v>
      </c>
      <c r="CH4" s="54">
        <f>U37</f>
        <v>7.407407407407407E-2</v>
      </c>
      <c r="CI4" s="54">
        <f>U38</f>
        <v>0.2074074074074074</v>
      </c>
      <c r="CJ4" s="54">
        <f>V35</f>
        <v>0.40229885057471265</v>
      </c>
      <c r="CK4" s="54">
        <f>V36</f>
        <v>0.55172413793103448</v>
      </c>
      <c r="CL4" s="54">
        <f>V37</f>
        <v>0.22988505747126436</v>
      </c>
      <c r="CM4" s="54">
        <f>V38</f>
        <v>0.37931034482758619</v>
      </c>
      <c r="CO4" s="40" t="s">
        <v>91</v>
      </c>
      <c r="CP4" s="2"/>
      <c r="CQ4" s="2"/>
      <c r="CR4" s="2"/>
      <c r="CS4" s="2"/>
      <c r="CY4" s="4" t="s">
        <v>1</v>
      </c>
      <c r="CZ4" s="14">
        <f>(CP6+CT6+CP23+CT23)/$T$41</f>
        <v>3.3429042896151819E-2</v>
      </c>
      <c r="DA4" s="14">
        <f t="shared" ref="CZ4:DC11" si="5">(CQ6+CU6+CQ23+CU23)/$T$41</f>
        <v>0.23212549967715335</v>
      </c>
      <c r="DB4" s="14">
        <f t="shared" si="5"/>
        <v>6.6974070233682736E-2</v>
      </c>
      <c r="DC4" s="14">
        <f t="shared" si="5"/>
        <v>0.27413121406808477</v>
      </c>
      <c r="DE4" s="4" t="s">
        <v>1</v>
      </c>
      <c r="DF4" s="14">
        <f t="shared" ref="DF4:DF19" si="6">CZ4-DC4</f>
        <v>-0.24070217117193296</v>
      </c>
      <c r="DG4" s="14">
        <f t="shared" ref="DG4:DG19" si="7">DA4-DB4</f>
        <v>0.16515142944347061</v>
      </c>
      <c r="DH4" s="96">
        <f t="shared" ref="DH4:DH19" si="8">(DF4+$DF$21)/($DF$21+$DG$21)</f>
        <v>9.6369885454017132E-2</v>
      </c>
      <c r="DI4" s="96">
        <f t="shared" ref="DI4:DI19" si="9">(DG4+$DF$21)/($DF$21+$DG$21)</f>
        <v>0.69558444326789226</v>
      </c>
      <c r="DK4" s="14"/>
      <c r="DM4" s="114">
        <f>RANK(DH4,$DH$4:$DH$19,0)</f>
        <v>8</v>
      </c>
      <c r="DO4" s="14"/>
    </row>
    <row r="5" spans="1:119" ht="15.75" thickBot="1" x14ac:dyDescent="0.3">
      <c r="A5" s="42" t="s">
        <v>83</v>
      </c>
      <c r="B5" s="4" t="s">
        <v>2</v>
      </c>
      <c r="C5" s="5">
        <v>2</v>
      </c>
      <c r="D5" s="5">
        <v>34</v>
      </c>
      <c r="E5" s="5">
        <v>2</v>
      </c>
      <c r="F5" s="26">
        <v>0</v>
      </c>
      <c r="H5" s="42" t="s">
        <v>2</v>
      </c>
      <c r="I5" s="4" t="s">
        <v>84</v>
      </c>
      <c r="J5" s="5">
        <v>2</v>
      </c>
      <c r="K5" s="5">
        <v>34</v>
      </c>
      <c r="L5" s="5">
        <v>2</v>
      </c>
      <c r="M5" s="5">
        <v>0</v>
      </c>
      <c r="N5" s="4" t="s">
        <v>85</v>
      </c>
      <c r="O5" s="5">
        <v>0</v>
      </c>
      <c r="P5" s="5">
        <v>22</v>
      </c>
      <c r="Q5" s="5">
        <v>3</v>
      </c>
      <c r="R5" s="26">
        <v>0</v>
      </c>
      <c r="T5" s="56" t="s">
        <v>92</v>
      </c>
      <c r="U5" s="52">
        <v>3</v>
      </c>
      <c r="V5" s="53">
        <v>31</v>
      </c>
      <c r="W5" s="53">
        <v>0</v>
      </c>
      <c r="X5" s="52">
        <v>0</v>
      </c>
      <c r="AA5" t="s">
        <v>93</v>
      </c>
      <c r="AB5" t="s">
        <v>94</v>
      </c>
      <c r="AC5" s="57" t="s">
        <v>95</v>
      </c>
      <c r="AD5" s="19" t="s">
        <v>96</v>
      </c>
      <c r="AF5" s="43" t="s">
        <v>69</v>
      </c>
      <c r="AG5" s="44">
        <f>MIN(C4:C99)</f>
        <v>0</v>
      </c>
      <c r="AH5" s="44">
        <f>MIN(D4:D99)</f>
        <v>0</v>
      </c>
      <c r="AI5" s="44">
        <f>MIN(E4:E99)</f>
        <v>0</v>
      </c>
      <c r="AJ5" s="45">
        <f>MIN(F4:F99)</f>
        <v>0</v>
      </c>
      <c r="AL5" s="42" t="s">
        <v>2</v>
      </c>
      <c r="AM5" s="46">
        <f t="shared" si="0"/>
        <v>0.99356913183279738</v>
      </c>
      <c r="AN5" s="47">
        <f t="shared" si="1"/>
        <v>0.19209039548022599</v>
      </c>
      <c r="AO5" s="47">
        <f t="shared" si="2"/>
        <v>7.6923076923076927E-2</v>
      </c>
      <c r="AP5" s="86">
        <f t="shared" si="3"/>
        <v>1</v>
      </c>
      <c r="AR5" s="42" t="s">
        <v>2</v>
      </c>
      <c r="AS5">
        <v>0</v>
      </c>
      <c r="AT5" s="48">
        <v>0.99356913183279738</v>
      </c>
      <c r="AU5" s="48">
        <v>0.19209039548022599</v>
      </c>
      <c r="AV5" s="48">
        <v>0.92307692307692313</v>
      </c>
      <c r="AW5" s="48">
        <v>0</v>
      </c>
      <c r="AX5">
        <v>1</v>
      </c>
      <c r="AY5" s="48">
        <v>1</v>
      </c>
      <c r="AZ5" s="48">
        <v>0.12429378531073447</v>
      </c>
      <c r="BA5" s="48">
        <v>0.88461538461538458</v>
      </c>
      <c r="BB5" s="49">
        <v>0</v>
      </c>
      <c r="BC5" s="48"/>
      <c r="BD5" s="42" t="s">
        <v>2</v>
      </c>
      <c r="BE5" s="46">
        <f t="shared" ref="BE5:BE68" si="10">1-AM5</f>
        <v>6.4308681672026191E-3</v>
      </c>
      <c r="BF5" s="47">
        <f t="shared" ref="BF5:BF68" si="11">1-AN5</f>
        <v>0.80790960451977401</v>
      </c>
      <c r="BG5" s="47">
        <f t="shared" ref="BG5:BG68" si="12">1-AO5</f>
        <v>0.92307692307692313</v>
      </c>
      <c r="BH5" s="86">
        <f t="shared" ref="BH5:BH68" si="13">1-AP5</f>
        <v>0</v>
      </c>
      <c r="BI5" s="48"/>
      <c r="BJ5" s="42" t="s">
        <v>1</v>
      </c>
      <c r="BK5" s="13">
        <f t="shared" ref="BK5:BK20" si="14">MIN(AM4,AM20,AM36,AM52,AM68,AM84)</f>
        <v>0.53697749196141475</v>
      </c>
      <c r="BL5" s="13">
        <f t="shared" ref="BL5:BL20" si="15">MIN(AN4,AN20,AN36,AN52,AN68,AN84)</f>
        <v>0.1807909604519774</v>
      </c>
      <c r="BM5" s="13">
        <f t="shared" ref="BM5:BM20" si="16">MIN(AO4,AO20,AO36,AO52,AO68,AO84)</f>
        <v>3.8461538461538464E-2</v>
      </c>
      <c r="BN5" s="13">
        <f t="shared" ref="BN5:BN20" si="17">MIN(AP4,AP20,AP36,AP52,AP68,AP84)</f>
        <v>0.66666666666666663</v>
      </c>
      <c r="BO5" s="13">
        <f t="shared" ref="BO5:BO20" si="18">MAX(AM4,AM20,AM36,AM52,AM68,AM84)</f>
        <v>0.98713826366559487</v>
      </c>
      <c r="BP5" s="13">
        <f t="shared" ref="BP5:BP20" si="19">MAX(AN4,AN20,AN36,AN52,AN68,AN84)</f>
        <v>0.60451977401129942</v>
      </c>
      <c r="BQ5" s="13">
        <f t="shared" ref="BQ5:BQ20" si="20">MAX(AO4,AO20,AO36,AO52,AO68,AO84)</f>
        <v>0.23076923076923078</v>
      </c>
      <c r="BR5" s="55">
        <f t="shared" ref="BR5:BR20" si="21">MAX(AP4,AP20,AP36,AP52,AP68,AP84)</f>
        <v>1</v>
      </c>
      <c r="BS5" s="48"/>
      <c r="BT5" s="48"/>
      <c r="BU5" s="42" t="s">
        <v>1</v>
      </c>
      <c r="BV5" s="13">
        <f>MIN(BE4,BE20,BE36,BE52,BE68,BE84)</f>
        <v>1.2861736334405127E-2</v>
      </c>
      <c r="BW5" s="13">
        <f t="shared" ref="BW5:BY5" si="22">MIN(BF4,BF20,BF36,BF52,BF68,BF84)</f>
        <v>0.39548022598870058</v>
      </c>
      <c r="BX5" s="13">
        <f t="shared" si="22"/>
        <v>0.76923076923076916</v>
      </c>
      <c r="BY5" s="13">
        <f t="shared" si="22"/>
        <v>0</v>
      </c>
      <c r="BZ5" s="13">
        <f>MAX(BE4,BE20,BE36,BE52,BE68,BE84)</f>
        <v>0.46302250803858525</v>
      </c>
      <c r="CA5" s="13">
        <f t="shared" ref="CA5:CC5" si="23">MAX(BF4,BF20,BF36,BF52,BF68,BF84)</f>
        <v>0.8192090395480226</v>
      </c>
      <c r="CB5" s="13">
        <f t="shared" si="23"/>
        <v>0.96153846153846156</v>
      </c>
      <c r="CC5" s="55">
        <f t="shared" si="23"/>
        <v>0.33333333333333337</v>
      </c>
      <c r="CD5" s="13"/>
      <c r="CE5" s="33"/>
      <c r="CF5" s="127" t="s">
        <v>40</v>
      </c>
      <c r="CG5" s="128"/>
      <c r="CH5" s="127" t="s">
        <v>41</v>
      </c>
      <c r="CI5" s="128"/>
      <c r="CJ5" s="127" t="s">
        <v>40</v>
      </c>
      <c r="CK5" s="128"/>
      <c r="CL5" s="127" t="s">
        <v>41</v>
      </c>
      <c r="CM5" s="128"/>
      <c r="CO5" s="41"/>
      <c r="CP5" s="58" t="s">
        <v>97</v>
      </c>
      <c r="CQ5" s="58" t="s">
        <v>98</v>
      </c>
      <c r="CR5" s="58" t="s">
        <v>97</v>
      </c>
      <c r="CS5" s="58" t="s">
        <v>98</v>
      </c>
      <c r="CT5" s="58" t="s">
        <v>99</v>
      </c>
      <c r="CU5" s="58" t="s">
        <v>100</v>
      </c>
      <c r="CV5" s="58" t="s">
        <v>99</v>
      </c>
      <c r="CW5" s="58" t="s">
        <v>100</v>
      </c>
      <c r="CY5" s="4" t="s">
        <v>2</v>
      </c>
      <c r="CZ5" s="14">
        <f t="shared" si="5"/>
        <v>2.9287051190545779E-2</v>
      </c>
      <c r="DA5" s="14">
        <f t="shared" si="5"/>
        <v>0.38324157246395452</v>
      </c>
      <c r="DB5" s="14">
        <f t="shared" si="5"/>
        <v>1.1906651361316887E-2</v>
      </c>
      <c r="DC5" s="14">
        <f t="shared" si="5"/>
        <v>0.16705964479268237</v>
      </c>
      <c r="DE5" s="4" t="s">
        <v>2</v>
      </c>
      <c r="DF5" s="14">
        <f t="shared" si="6"/>
        <v>-0.13777259360213659</v>
      </c>
      <c r="DG5" s="14">
        <f t="shared" si="7"/>
        <v>0.37133492110263761</v>
      </c>
      <c r="DH5" s="96">
        <f t="shared" si="8"/>
        <v>0.24833823368582444</v>
      </c>
      <c r="DI5" s="96">
        <f t="shared" si="9"/>
        <v>1</v>
      </c>
      <c r="DK5" s="14"/>
      <c r="DM5" s="115">
        <f t="shared" ref="DM5:DM19" si="24">RANK(DH5,$DH$4:$DH$19,0)</f>
        <v>1</v>
      </c>
      <c r="DO5" s="14"/>
    </row>
    <row r="6" spans="1:119" ht="15.75" thickBot="1" x14ac:dyDescent="0.3">
      <c r="A6" s="42" t="s">
        <v>83</v>
      </c>
      <c r="B6" s="4" t="s">
        <v>4</v>
      </c>
      <c r="C6" s="5">
        <v>26</v>
      </c>
      <c r="D6" s="5">
        <v>16</v>
      </c>
      <c r="E6" s="5">
        <v>0</v>
      </c>
      <c r="F6" s="26">
        <v>0</v>
      </c>
      <c r="H6" s="42" t="s">
        <v>4</v>
      </c>
      <c r="I6" s="4" t="s">
        <v>84</v>
      </c>
      <c r="J6" s="5">
        <v>26</v>
      </c>
      <c r="K6" s="5">
        <v>16</v>
      </c>
      <c r="L6" s="5">
        <v>0</v>
      </c>
      <c r="M6" s="5">
        <v>0</v>
      </c>
      <c r="N6" s="4" t="s">
        <v>85</v>
      </c>
      <c r="O6" s="5">
        <v>15</v>
      </c>
      <c r="P6" s="5">
        <v>9</v>
      </c>
      <c r="Q6" s="5">
        <v>0</v>
      </c>
      <c r="R6" s="26">
        <v>1</v>
      </c>
      <c r="T6" s="59" t="s">
        <v>37</v>
      </c>
      <c r="U6" s="52">
        <v>4</v>
      </c>
      <c r="V6" s="53">
        <v>31</v>
      </c>
      <c r="W6" s="53">
        <v>1</v>
      </c>
      <c r="X6" s="52">
        <v>0</v>
      </c>
      <c r="AA6" t="s">
        <v>103</v>
      </c>
      <c r="AB6" t="s">
        <v>104</v>
      </c>
      <c r="AC6" t="s">
        <v>105</v>
      </c>
      <c r="AD6" s="19" t="s">
        <v>106</v>
      </c>
      <c r="AF6" s="20"/>
      <c r="AG6" s="21" t="s">
        <v>101</v>
      </c>
      <c r="AH6" s="21" t="s">
        <v>102</v>
      </c>
      <c r="AI6" s="21" t="s">
        <v>102</v>
      </c>
      <c r="AJ6" s="22" t="s">
        <v>101</v>
      </c>
      <c r="AL6" s="42" t="s">
        <v>4</v>
      </c>
      <c r="AM6" s="46">
        <f t="shared" si="0"/>
        <v>0.91639871382636651</v>
      </c>
      <c r="AN6" s="47">
        <f t="shared" si="1"/>
        <v>9.03954802259887E-2</v>
      </c>
      <c r="AO6" s="47">
        <f t="shared" si="2"/>
        <v>0</v>
      </c>
      <c r="AP6" s="86">
        <f t="shared" si="3"/>
        <v>1</v>
      </c>
      <c r="AR6" s="42" t="s">
        <v>4</v>
      </c>
      <c r="AS6">
        <v>0</v>
      </c>
      <c r="AT6" s="48">
        <v>0.91639871382636651</v>
      </c>
      <c r="AU6" s="48">
        <v>9.03954802259887E-2</v>
      </c>
      <c r="AV6" s="48">
        <v>1</v>
      </c>
      <c r="AW6" s="48">
        <v>0</v>
      </c>
      <c r="AX6">
        <v>1</v>
      </c>
      <c r="AY6" s="48">
        <v>0.95176848874598075</v>
      </c>
      <c r="AZ6" s="48">
        <v>5.0847457627118647E-2</v>
      </c>
      <c r="BA6" s="48">
        <v>1</v>
      </c>
      <c r="BB6" s="49">
        <v>0.1111111111111111</v>
      </c>
      <c r="BC6" s="48"/>
      <c r="BD6" s="42" t="s">
        <v>4</v>
      </c>
      <c r="BE6" s="46">
        <f t="shared" si="10"/>
        <v>8.3601286173633493E-2</v>
      </c>
      <c r="BF6" s="47">
        <f t="shared" si="11"/>
        <v>0.90960451977401124</v>
      </c>
      <c r="BG6" s="47">
        <f t="shared" si="12"/>
        <v>1</v>
      </c>
      <c r="BH6" s="86">
        <f t="shared" si="13"/>
        <v>0</v>
      </c>
      <c r="BI6" s="48"/>
      <c r="BJ6" s="42" t="s">
        <v>2</v>
      </c>
      <c r="BK6" s="13">
        <f t="shared" si="14"/>
        <v>0.99356913183279738</v>
      </c>
      <c r="BL6" s="13">
        <f t="shared" si="15"/>
        <v>0.12429378531073447</v>
      </c>
      <c r="BM6" s="13">
        <f t="shared" si="16"/>
        <v>7.6923076923076927E-2</v>
      </c>
      <c r="BN6" s="13">
        <f t="shared" si="17"/>
        <v>0.88888888888888884</v>
      </c>
      <c r="BO6" s="13">
        <f t="shared" si="18"/>
        <v>1</v>
      </c>
      <c r="BP6" s="13">
        <f t="shared" si="19"/>
        <v>0.81355932203389836</v>
      </c>
      <c r="BQ6" s="13">
        <f t="shared" si="20"/>
        <v>1</v>
      </c>
      <c r="BR6" s="55">
        <f t="shared" si="21"/>
        <v>1</v>
      </c>
      <c r="BS6" s="48"/>
      <c r="BT6" s="48"/>
      <c r="BU6" s="42" t="s">
        <v>2</v>
      </c>
      <c r="BV6" s="13">
        <f t="shared" ref="BV6:BV20" si="25">MIN(BE5,BE21,BE37,BE53,BE69,BE85)</f>
        <v>0</v>
      </c>
      <c r="BW6" s="13">
        <f t="shared" ref="BW6:BW20" si="26">MIN(BF5,BF21,BF37,BF53,BF69,BF85)</f>
        <v>0.18644067796610164</v>
      </c>
      <c r="BX6" s="13">
        <f t="shared" ref="BX6:BX20" si="27">MIN(BG5,BG21,BG37,BG53,BG69,BG85)</f>
        <v>0</v>
      </c>
      <c r="BY6" s="13">
        <f t="shared" ref="BY6:BY20" si="28">MIN(BH5,BH21,BH37,BH53,BH69,BH85)</f>
        <v>0</v>
      </c>
      <c r="BZ6" s="13">
        <f t="shared" ref="BZ6:BZ20" si="29">MAX(BE5,BE21,BE37,BE53,BE69,BE85)</f>
        <v>6.4308681672026191E-3</v>
      </c>
      <c r="CA6" s="13">
        <f t="shared" ref="CA6:CA20" si="30">MAX(BF5,BF21,BF37,BF53,BF69,BF85)</f>
        <v>0.87570621468926557</v>
      </c>
      <c r="CB6" s="13">
        <f t="shared" ref="CB6:CB20" si="31">MAX(BG5,BG21,BG37,BG53,BG69,BG85)</f>
        <v>0.92307692307692313</v>
      </c>
      <c r="CC6" s="55">
        <f t="shared" ref="CC6:CC20" si="32">MAX(BH5,BH21,BH37,BH53,BH69,BH85)</f>
        <v>0.11111111111111116</v>
      </c>
      <c r="CD6" s="13"/>
      <c r="CE6" s="41"/>
      <c r="CF6" s="106" t="s">
        <v>97</v>
      </c>
      <c r="CG6" s="106" t="s">
        <v>98</v>
      </c>
      <c r="CH6" s="106" t="s">
        <v>97</v>
      </c>
      <c r="CI6" s="106" t="s">
        <v>98</v>
      </c>
      <c r="CJ6" s="106" t="s">
        <v>99</v>
      </c>
      <c r="CK6" s="106" t="s">
        <v>100</v>
      </c>
      <c r="CL6" s="106" t="s">
        <v>99</v>
      </c>
      <c r="CM6" s="106" t="s">
        <v>100</v>
      </c>
      <c r="CO6" s="4" t="s">
        <v>1</v>
      </c>
      <c r="CP6" s="13">
        <f>CF7*CF$4</f>
        <v>5.4857518272152421E-3</v>
      </c>
      <c r="CQ6" s="13">
        <f t="shared" ref="CQ6:CW21" si="33">CG7*CG$4</f>
        <v>4.538063562453807E-2</v>
      </c>
      <c r="CR6" s="13">
        <f t="shared" si="33"/>
        <v>6.5697626673236339E-4</v>
      </c>
      <c r="CS6" s="13">
        <f t="shared" si="33"/>
        <v>6.6223207686622321E-2</v>
      </c>
      <c r="CT6" s="13">
        <f t="shared" si="33"/>
        <v>5.1085568326947633E-2</v>
      </c>
      <c r="CU6" s="13">
        <f t="shared" si="33"/>
        <v>0.234263820470717</v>
      </c>
      <c r="CV6" s="13">
        <f t="shared" si="33"/>
        <v>6.3856960408684549E-2</v>
      </c>
      <c r="CW6" s="13">
        <f>CM7*CM$4</f>
        <v>0.21825396825396823</v>
      </c>
      <c r="CY6" s="4" t="s">
        <v>4</v>
      </c>
      <c r="CZ6" s="14">
        <f t="shared" si="5"/>
        <v>1.2197642007688398E-2</v>
      </c>
      <c r="DA6" s="14">
        <f t="shared" si="5"/>
        <v>0.11418335462563983</v>
      </c>
      <c r="DB6" s="14">
        <f t="shared" si="5"/>
        <v>0.13668094887487303</v>
      </c>
      <c r="DC6" s="14">
        <f t="shared" si="5"/>
        <v>0.31817203411013428</v>
      </c>
      <c r="DE6" s="4" t="s">
        <v>4</v>
      </c>
      <c r="DF6" s="14">
        <f t="shared" si="6"/>
        <v>-0.30597439210244587</v>
      </c>
      <c r="DG6" s="14">
        <f t="shared" si="7"/>
        <v>-2.2497594249233199E-2</v>
      </c>
      <c r="DH6" s="96">
        <f t="shared" si="8"/>
        <v>0</v>
      </c>
      <c r="DI6" s="96">
        <f t="shared" si="9"/>
        <v>0.41853373684141015</v>
      </c>
      <c r="DK6" s="14"/>
      <c r="DM6" s="115">
        <f t="shared" si="24"/>
        <v>16</v>
      </c>
      <c r="DO6" s="14"/>
    </row>
    <row r="7" spans="1:119" ht="15.75" thickBot="1" x14ac:dyDescent="0.3">
      <c r="A7" s="42" t="s">
        <v>83</v>
      </c>
      <c r="B7" s="4" t="s">
        <v>5</v>
      </c>
      <c r="C7" s="5">
        <v>19</v>
      </c>
      <c r="D7" s="5">
        <v>24</v>
      </c>
      <c r="E7" s="5">
        <v>0</v>
      </c>
      <c r="F7" s="26">
        <v>2</v>
      </c>
      <c r="H7" s="42" t="s">
        <v>5</v>
      </c>
      <c r="I7" s="4" t="s">
        <v>84</v>
      </c>
      <c r="J7" s="5">
        <v>19</v>
      </c>
      <c r="K7" s="5">
        <v>24</v>
      </c>
      <c r="L7" s="5">
        <v>0</v>
      </c>
      <c r="M7" s="5">
        <v>2</v>
      </c>
      <c r="N7" s="4" t="s">
        <v>85</v>
      </c>
      <c r="O7" s="5">
        <v>5</v>
      </c>
      <c r="P7" s="5">
        <v>29</v>
      </c>
      <c r="Q7" s="5">
        <v>0</v>
      </c>
      <c r="R7" s="26">
        <v>0</v>
      </c>
      <c r="T7" s="42" t="s">
        <v>107</v>
      </c>
      <c r="U7" s="52">
        <v>5</v>
      </c>
      <c r="V7" s="53">
        <v>33</v>
      </c>
      <c r="W7" s="53">
        <v>1</v>
      </c>
      <c r="X7" s="52">
        <v>0</v>
      </c>
      <c r="AD7" s="19"/>
      <c r="AL7" s="42" t="s">
        <v>5</v>
      </c>
      <c r="AM7" s="46">
        <f t="shared" si="0"/>
        <v>0.93890675241157562</v>
      </c>
      <c r="AN7" s="47">
        <f t="shared" si="1"/>
        <v>0.13559322033898305</v>
      </c>
      <c r="AO7" s="47">
        <f t="shared" si="2"/>
        <v>0</v>
      </c>
      <c r="AP7" s="86">
        <f t="shared" si="3"/>
        <v>0.77777777777777779</v>
      </c>
      <c r="AR7" s="42" t="s">
        <v>5</v>
      </c>
      <c r="AS7">
        <v>0</v>
      </c>
      <c r="AT7" s="48">
        <v>0.93890675241157562</v>
      </c>
      <c r="AU7" s="48">
        <v>0.13559322033898305</v>
      </c>
      <c r="AV7" s="48">
        <v>1</v>
      </c>
      <c r="AW7" s="48">
        <v>0.22222222222222221</v>
      </c>
      <c r="AX7">
        <v>1</v>
      </c>
      <c r="AY7" s="48">
        <v>0.98392282958199362</v>
      </c>
      <c r="AZ7" s="48">
        <v>0.16384180790960451</v>
      </c>
      <c r="BA7" s="48">
        <v>1</v>
      </c>
      <c r="BB7" s="49">
        <v>0</v>
      </c>
      <c r="BC7" s="48"/>
      <c r="BD7" s="42" t="s">
        <v>5</v>
      </c>
      <c r="BE7" s="46">
        <f t="shared" si="10"/>
        <v>6.1093247588424382E-2</v>
      </c>
      <c r="BF7" s="47">
        <f t="shared" si="11"/>
        <v>0.86440677966101698</v>
      </c>
      <c r="BG7" s="47">
        <f t="shared" si="12"/>
        <v>1</v>
      </c>
      <c r="BH7" s="86">
        <f t="shared" si="13"/>
        <v>0.22222222222222221</v>
      </c>
      <c r="BI7" s="48"/>
      <c r="BJ7" s="42" t="s">
        <v>4</v>
      </c>
      <c r="BK7" s="13">
        <f t="shared" si="14"/>
        <v>0.74919614147909963</v>
      </c>
      <c r="BL7" s="13">
        <f t="shared" si="15"/>
        <v>4.519774011299435E-2</v>
      </c>
      <c r="BM7" s="13">
        <f t="shared" si="16"/>
        <v>0</v>
      </c>
      <c r="BN7" s="13">
        <f t="shared" si="17"/>
        <v>0.77777777777777779</v>
      </c>
      <c r="BO7" s="13">
        <f t="shared" si="18"/>
        <v>0.95176848874598075</v>
      </c>
      <c r="BP7" s="13">
        <f t="shared" si="19"/>
        <v>0.12994350282485875</v>
      </c>
      <c r="BQ7" s="13">
        <f t="shared" si="20"/>
        <v>7.6923076923076927E-2</v>
      </c>
      <c r="BR7" s="55">
        <f t="shared" si="21"/>
        <v>1</v>
      </c>
      <c r="BS7" s="48"/>
      <c r="BT7" s="48"/>
      <c r="BU7" s="42" t="s">
        <v>4</v>
      </c>
      <c r="BV7" s="13">
        <f t="shared" si="25"/>
        <v>4.8231511254019255E-2</v>
      </c>
      <c r="BW7" s="13">
        <f t="shared" si="26"/>
        <v>0.87005649717514122</v>
      </c>
      <c r="BX7" s="13">
        <f t="shared" si="27"/>
        <v>0.92307692307692313</v>
      </c>
      <c r="BY7" s="13">
        <f t="shared" si="28"/>
        <v>0</v>
      </c>
      <c r="BZ7" s="13">
        <f t="shared" si="29"/>
        <v>0.25080385852090037</v>
      </c>
      <c r="CA7" s="13">
        <f t="shared" si="30"/>
        <v>0.95480225988700562</v>
      </c>
      <c r="CB7" s="13">
        <f t="shared" si="31"/>
        <v>1</v>
      </c>
      <c r="CC7" s="55">
        <f t="shared" si="32"/>
        <v>0.22222222222222221</v>
      </c>
      <c r="CD7" s="13"/>
      <c r="CE7" s="105" t="s">
        <v>1</v>
      </c>
      <c r="CF7" s="107">
        <f>BK23</f>
        <v>0.37028824833702884</v>
      </c>
      <c r="CG7" s="108">
        <f>BO23</f>
        <v>0.68070953436807102</v>
      </c>
      <c r="CH7" s="108">
        <f>BK41</f>
        <v>8.8691796008869058E-3</v>
      </c>
      <c r="CI7" s="108">
        <f>BO41</f>
        <v>0.31929046563192909</v>
      </c>
      <c r="CJ7" s="108">
        <f>BL23</f>
        <v>0.12698412698412698</v>
      </c>
      <c r="CK7" s="108">
        <f>BP23</f>
        <v>0.42460317460317459</v>
      </c>
      <c r="CL7" s="108">
        <f>BL41</f>
        <v>0.27777777777777779</v>
      </c>
      <c r="CM7" s="109">
        <f>BP41</f>
        <v>0.57539682539682535</v>
      </c>
      <c r="CO7" s="4" t="s">
        <v>2</v>
      </c>
      <c r="CP7" s="13">
        <f t="shared" ref="CP7:CP21" si="34">CF8*CF$4</f>
        <v>1.4625488107916224E-2</v>
      </c>
      <c r="CQ7" s="13">
        <f t="shared" si="33"/>
        <v>6.6240681576144836E-2</v>
      </c>
      <c r="CR7" s="13">
        <f t="shared" si="33"/>
        <v>0</v>
      </c>
      <c r="CS7" s="13">
        <f t="shared" si="33"/>
        <v>1.3252869482901527E-3</v>
      </c>
      <c r="CT7" s="13">
        <f t="shared" si="33"/>
        <v>2.9600584323223007E-2</v>
      </c>
      <c r="CU7" s="13">
        <f t="shared" si="33"/>
        <v>0.2657132971975551</v>
      </c>
      <c r="CV7" s="13">
        <f t="shared" si="33"/>
        <v>2.5371929419905424E-2</v>
      </c>
      <c r="CW7" s="13">
        <f t="shared" si="33"/>
        <v>0.19663245300426707</v>
      </c>
      <c r="CY7" s="4" t="s">
        <v>5</v>
      </c>
      <c r="CZ7" s="14">
        <f t="shared" si="5"/>
        <v>2.4543388681883698E-2</v>
      </c>
      <c r="DA7" s="14">
        <f t="shared" si="5"/>
        <v>0.18042056262992626</v>
      </c>
      <c r="DB7" s="14">
        <f t="shared" si="5"/>
        <v>8.9723580727808741E-2</v>
      </c>
      <c r="DC7" s="14">
        <f t="shared" si="5"/>
        <v>0.2644027707481631</v>
      </c>
      <c r="DE7" s="4" t="s">
        <v>5</v>
      </c>
      <c r="DF7" s="14">
        <f t="shared" si="6"/>
        <v>-0.23985938206627941</v>
      </c>
      <c r="DG7" s="14">
        <f t="shared" si="7"/>
        <v>9.0696981902117516E-2</v>
      </c>
      <c r="DH7" s="96">
        <f t="shared" si="8"/>
        <v>9.7614204835461044E-2</v>
      </c>
      <c r="DI7" s="96">
        <f t="shared" si="9"/>
        <v>0.58565764012232724</v>
      </c>
      <c r="DK7" s="14"/>
      <c r="DM7" s="115">
        <f t="shared" si="24"/>
        <v>6</v>
      </c>
      <c r="DO7" s="14"/>
    </row>
    <row r="8" spans="1:119" ht="15.75" thickBot="1" x14ac:dyDescent="0.3">
      <c r="A8" s="42" t="s">
        <v>83</v>
      </c>
      <c r="B8" s="4" t="s">
        <v>6</v>
      </c>
      <c r="C8" s="5">
        <v>20</v>
      </c>
      <c r="D8" s="5">
        <v>79</v>
      </c>
      <c r="E8" s="5">
        <v>1</v>
      </c>
      <c r="F8" s="26">
        <v>0</v>
      </c>
      <c r="H8" s="42" t="s">
        <v>6</v>
      </c>
      <c r="I8" s="4" t="s">
        <v>84</v>
      </c>
      <c r="J8" s="5">
        <v>20</v>
      </c>
      <c r="K8" s="5">
        <v>79</v>
      </c>
      <c r="L8" s="5">
        <v>1</v>
      </c>
      <c r="M8" s="5">
        <v>0</v>
      </c>
      <c r="N8" s="4" t="s">
        <v>85</v>
      </c>
      <c r="O8" s="5">
        <v>57</v>
      </c>
      <c r="P8" s="5">
        <v>112</v>
      </c>
      <c r="Q8" s="5">
        <v>2</v>
      </c>
      <c r="R8" s="26">
        <v>2</v>
      </c>
      <c r="T8" s="42"/>
      <c r="U8" s="52">
        <v>9</v>
      </c>
      <c r="V8" s="53">
        <v>38</v>
      </c>
      <c r="W8" s="53">
        <v>1</v>
      </c>
      <c r="X8" s="52">
        <v>0</v>
      </c>
      <c r="AD8" s="19"/>
      <c r="AL8" s="42" t="s">
        <v>6</v>
      </c>
      <c r="AM8" s="46">
        <f t="shared" si="0"/>
        <v>0.93569131832797425</v>
      </c>
      <c r="AN8" s="47">
        <f t="shared" si="1"/>
        <v>0.4463276836158192</v>
      </c>
      <c r="AO8" s="47">
        <f t="shared" si="2"/>
        <v>3.8461538461538464E-2</v>
      </c>
      <c r="AP8" s="86">
        <f t="shared" si="3"/>
        <v>1</v>
      </c>
      <c r="AR8" s="42" t="s">
        <v>6</v>
      </c>
      <c r="AS8">
        <v>0</v>
      </c>
      <c r="AT8" s="48">
        <v>0.93569131832797425</v>
      </c>
      <c r="AU8" s="48">
        <v>0.4463276836158192</v>
      </c>
      <c r="AV8" s="48">
        <v>0.96153846153846156</v>
      </c>
      <c r="AW8" s="48">
        <v>0</v>
      </c>
      <c r="AX8">
        <v>1</v>
      </c>
      <c r="AY8" s="48">
        <v>0.81672025723472674</v>
      </c>
      <c r="AZ8" s="48">
        <v>0.63276836158192096</v>
      </c>
      <c r="BA8" s="48">
        <v>0.92307692307692313</v>
      </c>
      <c r="BB8" s="49">
        <v>0.22222222222222221</v>
      </c>
      <c r="BC8" s="48"/>
      <c r="BD8" s="42" t="s">
        <v>6</v>
      </c>
      <c r="BE8" s="46">
        <f t="shared" si="10"/>
        <v>6.4308681672025747E-2</v>
      </c>
      <c r="BF8" s="47">
        <f t="shared" si="11"/>
        <v>0.5536723163841808</v>
      </c>
      <c r="BG8" s="47">
        <f t="shared" si="12"/>
        <v>0.96153846153846156</v>
      </c>
      <c r="BH8" s="86">
        <f t="shared" si="13"/>
        <v>0</v>
      </c>
      <c r="BI8" s="48"/>
      <c r="BJ8" s="42" t="s">
        <v>5</v>
      </c>
      <c r="BK8" s="13">
        <f t="shared" si="14"/>
        <v>0.89067524115755625</v>
      </c>
      <c r="BL8" s="13">
        <f t="shared" si="15"/>
        <v>0.13559322033898305</v>
      </c>
      <c r="BM8" s="13">
        <f t="shared" si="16"/>
        <v>0</v>
      </c>
      <c r="BN8" s="13">
        <f t="shared" si="17"/>
        <v>0.77777777777777779</v>
      </c>
      <c r="BO8" s="13">
        <f t="shared" si="18"/>
        <v>0.98392282958199362</v>
      </c>
      <c r="BP8" s="13">
        <f t="shared" si="19"/>
        <v>0.49152542372881358</v>
      </c>
      <c r="BQ8" s="13">
        <f t="shared" si="20"/>
        <v>7.6923076923076927E-2</v>
      </c>
      <c r="BR8" s="55">
        <f t="shared" si="21"/>
        <v>1</v>
      </c>
      <c r="BS8" s="48"/>
      <c r="BT8" s="48"/>
      <c r="BU8" s="42" t="s">
        <v>5</v>
      </c>
      <c r="BV8" s="13">
        <f t="shared" si="25"/>
        <v>1.6077170418006381E-2</v>
      </c>
      <c r="BW8" s="13">
        <f t="shared" si="26"/>
        <v>0.50847457627118642</v>
      </c>
      <c r="BX8" s="13">
        <f t="shared" si="27"/>
        <v>0.92307692307692313</v>
      </c>
      <c r="BY8" s="13">
        <f t="shared" si="28"/>
        <v>0</v>
      </c>
      <c r="BZ8" s="13">
        <f t="shared" si="29"/>
        <v>0.10932475884244375</v>
      </c>
      <c r="CA8" s="13">
        <f t="shared" si="30"/>
        <v>0.86440677966101698</v>
      </c>
      <c r="CB8" s="13">
        <f t="shared" si="31"/>
        <v>1</v>
      </c>
      <c r="CC8" s="55">
        <f t="shared" si="32"/>
        <v>0.22222222222222221</v>
      </c>
      <c r="CD8" s="13"/>
      <c r="CE8" s="105" t="s">
        <v>2</v>
      </c>
      <c r="CF8" s="110">
        <f t="shared" ref="CF8:CF22" si="35">BK24</f>
        <v>0.9872204472843451</v>
      </c>
      <c r="CG8" s="13">
        <f t="shared" ref="CG8:CG22" si="36">BO24</f>
        <v>0.99361022364217255</v>
      </c>
      <c r="CH8" s="13">
        <f t="shared" ref="CH8:CH22" si="37">BK42</f>
        <v>0</v>
      </c>
      <c r="CI8" s="13">
        <f t="shared" ref="CI8:CI22" si="38">BO42</f>
        <v>6.3897763578275226E-3</v>
      </c>
      <c r="CJ8" s="13">
        <f t="shared" ref="CJ8:CJ21" si="39">BL24</f>
        <v>7.3578595317725759E-2</v>
      </c>
      <c r="CK8" s="13">
        <f t="shared" ref="CK8:CK21" si="40">BP24</f>
        <v>0.48160535117056857</v>
      </c>
      <c r="CL8" s="13">
        <f t="shared" ref="CL8:CL21" si="41">BL42</f>
        <v>0.1103678929765886</v>
      </c>
      <c r="CM8" s="102">
        <f t="shared" ref="CM8:CM21" si="42">BP42</f>
        <v>0.51839464882943143</v>
      </c>
      <c r="CO8" s="4" t="s">
        <v>4</v>
      </c>
      <c r="CP8" s="13">
        <f t="shared" si="34"/>
        <v>9.2295504060209942E-3</v>
      </c>
      <c r="CQ8" s="13">
        <f t="shared" si="33"/>
        <v>5.2762923351158647E-2</v>
      </c>
      <c r="CR8" s="13">
        <f t="shared" si="33"/>
        <v>2.9708853238264977E-3</v>
      </c>
      <c r="CS8" s="13">
        <f t="shared" si="33"/>
        <v>4.3256090314913856E-2</v>
      </c>
      <c r="CT8" s="13">
        <f t="shared" si="33"/>
        <v>1.6762452107279693E-2</v>
      </c>
      <c r="CU8" s="13">
        <f t="shared" si="33"/>
        <v>6.6091954022988494E-2</v>
      </c>
      <c r="CV8" s="13">
        <f t="shared" si="33"/>
        <v>0.1843869731800766</v>
      </c>
      <c r="CW8" s="13">
        <f t="shared" si="33"/>
        <v>0.33387212643678155</v>
      </c>
      <c r="CY8" s="4" t="s">
        <v>6</v>
      </c>
      <c r="CZ8" s="14">
        <f t="shared" si="5"/>
        <v>5.8552153162062241E-2</v>
      </c>
      <c r="DA8" s="14">
        <f t="shared" si="5"/>
        <v>0.23197632458266038</v>
      </c>
      <c r="DB8" s="14">
        <f t="shared" si="5"/>
        <v>7.2577462356071196E-2</v>
      </c>
      <c r="DC8" s="14">
        <f t="shared" si="5"/>
        <v>0.23829176623222181</v>
      </c>
      <c r="DE8" s="4" t="s">
        <v>6</v>
      </c>
      <c r="DF8" s="14">
        <f t="shared" si="6"/>
        <v>-0.17973961307015957</v>
      </c>
      <c r="DG8" s="14">
        <f t="shared" si="7"/>
        <v>0.15939886222658917</v>
      </c>
      <c r="DH8" s="96">
        <f t="shared" si="8"/>
        <v>0.18637685407710242</v>
      </c>
      <c r="DI8" s="96">
        <f t="shared" si="9"/>
        <v>0.68709117866230196</v>
      </c>
      <c r="DK8" s="14"/>
      <c r="DM8" s="115">
        <f t="shared" si="24"/>
        <v>3</v>
      </c>
      <c r="DO8" s="14"/>
    </row>
    <row r="9" spans="1:119" ht="15.75" thickBot="1" x14ac:dyDescent="0.3">
      <c r="A9" s="42" t="s">
        <v>83</v>
      </c>
      <c r="B9" s="4" t="s">
        <v>8</v>
      </c>
      <c r="C9" s="5">
        <v>23</v>
      </c>
      <c r="D9" s="5">
        <v>62</v>
      </c>
      <c r="E9" s="5">
        <v>2</v>
      </c>
      <c r="F9" s="26">
        <v>0</v>
      </c>
      <c r="H9" s="42" t="s">
        <v>8</v>
      </c>
      <c r="I9" s="4" t="s">
        <v>84</v>
      </c>
      <c r="J9" s="5">
        <v>23</v>
      </c>
      <c r="K9" s="5">
        <v>62</v>
      </c>
      <c r="L9" s="5">
        <v>2</v>
      </c>
      <c r="M9" s="5">
        <v>0</v>
      </c>
      <c r="N9" s="4" t="s">
        <v>85</v>
      </c>
      <c r="O9" s="5">
        <v>10</v>
      </c>
      <c r="P9" s="5">
        <v>43</v>
      </c>
      <c r="Q9" s="5">
        <v>0</v>
      </c>
      <c r="R9" s="26">
        <v>2</v>
      </c>
      <c r="T9" s="42"/>
      <c r="U9" s="5">
        <v>10</v>
      </c>
      <c r="V9" s="5">
        <v>40</v>
      </c>
      <c r="W9" s="53">
        <v>1</v>
      </c>
      <c r="X9" s="52">
        <v>1</v>
      </c>
      <c r="AD9" s="19"/>
      <c r="AL9" s="42" t="s">
        <v>8</v>
      </c>
      <c r="AM9" s="46">
        <f t="shared" si="0"/>
        <v>0.92604501607717038</v>
      </c>
      <c r="AN9" s="47">
        <f t="shared" si="1"/>
        <v>0.35028248587570621</v>
      </c>
      <c r="AO9" s="47">
        <f t="shared" si="2"/>
        <v>7.6923076923076927E-2</v>
      </c>
      <c r="AP9" s="86">
        <f t="shared" si="3"/>
        <v>1</v>
      </c>
      <c r="AR9" s="42" t="s">
        <v>8</v>
      </c>
      <c r="AS9">
        <v>0</v>
      </c>
      <c r="AT9" s="48">
        <v>0.92604501607717038</v>
      </c>
      <c r="AU9" s="48">
        <v>0.35028248587570621</v>
      </c>
      <c r="AV9" s="48">
        <v>0.92307692307692313</v>
      </c>
      <c r="AW9" s="48">
        <v>0</v>
      </c>
      <c r="AX9">
        <v>1</v>
      </c>
      <c r="AY9" s="48">
        <v>0.96784565916398713</v>
      </c>
      <c r="AZ9" s="48">
        <v>0.24293785310734464</v>
      </c>
      <c r="BA9" s="48">
        <v>1</v>
      </c>
      <c r="BB9" s="49">
        <v>0.22222222222222221</v>
      </c>
      <c r="BC9" s="48"/>
      <c r="BD9" s="42" t="s">
        <v>8</v>
      </c>
      <c r="BE9" s="46">
        <f t="shared" si="10"/>
        <v>7.395498392282962E-2</v>
      </c>
      <c r="BF9" s="47">
        <f t="shared" si="11"/>
        <v>0.64971751412429379</v>
      </c>
      <c r="BG9" s="47">
        <f t="shared" si="12"/>
        <v>0.92307692307692313</v>
      </c>
      <c r="BH9" s="86">
        <f t="shared" si="13"/>
        <v>0</v>
      </c>
      <c r="BI9" s="48"/>
      <c r="BJ9" s="42" t="s">
        <v>6</v>
      </c>
      <c r="BK9" s="13">
        <f t="shared" si="14"/>
        <v>0.81672025723472674</v>
      </c>
      <c r="BL9" s="13">
        <f t="shared" si="15"/>
        <v>0.3728813559322034</v>
      </c>
      <c r="BM9" s="13">
        <f t="shared" si="16"/>
        <v>0</v>
      </c>
      <c r="BN9" s="13">
        <f t="shared" si="17"/>
        <v>0.77777777777777779</v>
      </c>
      <c r="BO9" s="13">
        <f t="shared" si="18"/>
        <v>0.93569131832797425</v>
      </c>
      <c r="BP9" s="13">
        <f t="shared" si="19"/>
        <v>0.68926553672316382</v>
      </c>
      <c r="BQ9" s="13">
        <f t="shared" si="20"/>
        <v>0.11538461538461539</v>
      </c>
      <c r="BR9" s="55">
        <f t="shared" si="21"/>
        <v>1</v>
      </c>
      <c r="BS9" s="48"/>
      <c r="BT9" s="48"/>
      <c r="BU9" s="42" t="s">
        <v>6</v>
      </c>
      <c r="BV9" s="13">
        <f t="shared" si="25"/>
        <v>6.4308681672025747E-2</v>
      </c>
      <c r="BW9" s="13">
        <f t="shared" si="26"/>
        <v>0.31073446327683618</v>
      </c>
      <c r="BX9" s="13">
        <f t="shared" si="27"/>
        <v>0.88461538461538458</v>
      </c>
      <c r="BY9" s="13">
        <f t="shared" si="28"/>
        <v>0</v>
      </c>
      <c r="BZ9" s="13">
        <f t="shared" si="29"/>
        <v>0.18327974276527326</v>
      </c>
      <c r="CA9" s="13">
        <f t="shared" si="30"/>
        <v>0.6271186440677966</v>
      </c>
      <c r="CB9" s="13">
        <f t="shared" si="31"/>
        <v>1</v>
      </c>
      <c r="CC9" s="55">
        <f t="shared" si="32"/>
        <v>0.22222222222222221</v>
      </c>
      <c r="CD9" s="13"/>
      <c r="CE9" s="105" t="s">
        <v>4</v>
      </c>
      <c r="CF9" s="110">
        <f t="shared" si="35"/>
        <v>0.62299465240641705</v>
      </c>
      <c r="CG9" s="13">
        <f t="shared" si="36"/>
        <v>0.79144385026737973</v>
      </c>
      <c r="CH9" s="13">
        <f t="shared" si="37"/>
        <v>4.010695187165772E-2</v>
      </c>
      <c r="CI9" s="13">
        <f t="shared" si="38"/>
        <v>0.20855614973262038</v>
      </c>
      <c r="CJ9" s="13">
        <f t="shared" si="39"/>
        <v>4.1666666666666664E-2</v>
      </c>
      <c r="CK9" s="13">
        <f t="shared" si="40"/>
        <v>0.11979166666666666</v>
      </c>
      <c r="CL9" s="13">
        <f t="shared" si="41"/>
        <v>0.80208333333333326</v>
      </c>
      <c r="CM9" s="102">
        <f t="shared" si="42"/>
        <v>0.88020833333333326</v>
      </c>
      <c r="CO9" s="4" t="s">
        <v>5</v>
      </c>
      <c r="CP9" s="13">
        <f t="shared" si="34"/>
        <v>1.2069716775599128E-2</v>
      </c>
      <c r="CQ9" s="13">
        <f t="shared" si="33"/>
        <v>5.9999999999999991E-2</v>
      </c>
      <c r="CR9" s="13">
        <f t="shared" si="33"/>
        <v>1.0893246187363799E-3</v>
      </c>
      <c r="CS9" s="13">
        <f t="shared" si="33"/>
        <v>2.074074074074074E-2</v>
      </c>
      <c r="CT9" s="13">
        <f t="shared" si="33"/>
        <v>4.0229885057471271E-2</v>
      </c>
      <c r="CU9" s="13">
        <f t="shared" si="33"/>
        <v>0.2</v>
      </c>
      <c r="CV9" s="13">
        <f t="shared" si="33"/>
        <v>8.6206896551724144E-2</v>
      </c>
      <c r="CW9" s="13">
        <f t="shared" si="33"/>
        <v>0.24181034482758623</v>
      </c>
      <c r="CY9" s="4" t="s">
        <v>8</v>
      </c>
      <c r="CZ9" s="14">
        <f t="shared" si="5"/>
        <v>3.584227715230355E-2</v>
      </c>
      <c r="DA9" s="14">
        <f t="shared" si="5"/>
        <v>0.16144494577606605</v>
      </c>
      <c r="DB9" s="14">
        <f t="shared" si="5"/>
        <v>0.11000734235230308</v>
      </c>
      <c r="DC9" s="14">
        <f t="shared" si="5"/>
        <v>0.28986435680030959</v>
      </c>
      <c r="DE9" s="4" t="s">
        <v>8</v>
      </c>
      <c r="DF9" s="14">
        <f t="shared" si="6"/>
        <v>-0.25402207964800605</v>
      </c>
      <c r="DG9" s="14">
        <f t="shared" si="7"/>
        <v>5.1437603423762968E-2</v>
      </c>
      <c r="DH9" s="96">
        <f t="shared" si="8"/>
        <v>7.6703968838989084E-2</v>
      </c>
      <c r="DI9" s="96">
        <f t="shared" si="9"/>
        <v>0.52769390374230329</v>
      </c>
      <c r="DK9" s="14"/>
      <c r="DM9" s="115">
        <f t="shared" si="24"/>
        <v>9</v>
      </c>
      <c r="DO9" s="14"/>
    </row>
    <row r="10" spans="1:119" ht="15.75" thickBot="1" x14ac:dyDescent="0.3">
      <c r="A10" s="42" t="s">
        <v>83</v>
      </c>
      <c r="B10" s="4" t="s">
        <v>9</v>
      </c>
      <c r="C10" s="5">
        <v>20</v>
      </c>
      <c r="D10" s="5">
        <v>30</v>
      </c>
      <c r="E10" s="5">
        <v>2</v>
      </c>
      <c r="F10" s="26">
        <v>1</v>
      </c>
      <c r="H10" s="42" t="s">
        <v>9</v>
      </c>
      <c r="I10" s="4" t="s">
        <v>84</v>
      </c>
      <c r="J10" s="5">
        <v>20</v>
      </c>
      <c r="K10" s="5">
        <v>30</v>
      </c>
      <c r="L10" s="5">
        <v>2</v>
      </c>
      <c r="M10" s="5">
        <v>1</v>
      </c>
      <c r="N10" s="4" t="s">
        <v>85</v>
      </c>
      <c r="O10" s="5">
        <v>22</v>
      </c>
      <c r="P10" s="5">
        <v>36</v>
      </c>
      <c r="Q10" s="5">
        <v>1</v>
      </c>
      <c r="R10" s="26">
        <v>2</v>
      </c>
      <c r="T10" s="42"/>
      <c r="U10" s="5">
        <v>12</v>
      </c>
      <c r="V10" s="5">
        <v>52</v>
      </c>
      <c r="W10" s="53">
        <v>1</v>
      </c>
      <c r="X10" s="52">
        <v>1</v>
      </c>
      <c r="AD10" s="19"/>
      <c r="AL10" s="42" t="s">
        <v>9</v>
      </c>
      <c r="AM10" s="46">
        <f t="shared" si="0"/>
        <v>0.93569131832797425</v>
      </c>
      <c r="AN10" s="47">
        <f t="shared" si="1"/>
        <v>0.16949152542372881</v>
      </c>
      <c r="AO10" s="47">
        <f t="shared" si="2"/>
        <v>7.6923076923076927E-2</v>
      </c>
      <c r="AP10" s="86">
        <f t="shared" si="3"/>
        <v>0.88888888888888884</v>
      </c>
      <c r="AR10" s="42" t="s">
        <v>9</v>
      </c>
      <c r="AS10">
        <v>0</v>
      </c>
      <c r="AT10" s="48">
        <v>0.93569131832797425</v>
      </c>
      <c r="AU10" s="48">
        <v>0.16949152542372881</v>
      </c>
      <c r="AV10" s="48">
        <v>0.92307692307692313</v>
      </c>
      <c r="AW10" s="48">
        <v>0.1111111111111111</v>
      </c>
      <c r="AX10">
        <v>1</v>
      </c>
      <c r="AY10" s="48">
        <v>0.92926045016077174</v>
      </c>
      <c r="AZ10" s="48">
        <v>0.20338983050847459</v>
      </c>
      <c r="BA10" s="48">
        <v>0.96153846153846156</v>
      </c>
      <c r="BB10" s="49">
        <v>0.22222222222222221</v>
      </c>
      <c r="BC10" s="48"/>
      <c r="BD10" s="42" t="s">
        <v>9</v>
      </c>
      <c r="BE10" s="46">
        <f t="shared" si="10"/>
        <v>6.4308681672025747E-2</v>
      </c>
      <c r="BF10" s="47">
        <f t="shared" si="11"/>
        <v>0.83050847457627119</v>
      </c>
      <c r="BG10" s="47">
        <f t="shared" si="12"/>
        <v>0.92307692307692313</v>
      </c>
      <c r="BH10" s="86">
        <f t="shared" si="13"/>
        <v>0.11111111111111116</v>
      </c>
      <c r="BI10" s="48"/>
      <c r="BJ10" s="42" t="s">
        <v>8</v>
      </c>
      <c r="BK10" s="13">
        <f t="shared" si="14"/>
        <v>0.87781350482315113</v>
      </c>
      <c r="BL10" s="13">
        <f t="shared" si="15"/>
        <v>0.1864406779661017</v>
      </c>
      <c r="BM10" s="13">
        <f t="shared" si="16"/>
        <v>0</v>
      </c>
      <c r="BN10" s="13">
        <f t="shared" si="17"/>
        <v>0.66666666666666663</v>
      </c>
      <c r="BO10" s="13">
        <f t="shared" si="18"/>
        <v>0.96784565916398713</v>
      </c>
      <c r="BP10" s="13">
        <f t="shared" si="19"/>
        <v>0.35028248587570621</v>
      </c>
      <c r="BQ10" s="13">
        <f t="shared" si="20"/>
        <v>7.6923076923076927E-2</v>
      </c>
      <c r="BR10" s="55">
        <f t="shared" si="21"/>
        <v>1</v>
      </c>
      <c r="BS10" s="48"/>
      <c r="BT10" s="48"/>
      <c r="BU10" s="42" t="s">
        <v>8</v>
      </c>
      <c r="BV10" s="13">
        <f t="shared" si="25"/>
        <v>3.2154340836012874E-2</v>
      </c>
      <c r="BW10" s="13">
        <f t="shared" si="26"/>
        <v>0.64971751412429379</v>
      </c>
      <c r="BX10" s="13">
        <f t="shared" si="27"/>
        <v>0.92307692307692313</v>
      </c>
      <c r="BY10" s="13">
        <f t="shared" si="28"/>
        <v>0</v>
      </c>
      <c r="BZ10" s="13">
        <f t="shared" si="29"/>
        <v>0.12218649517684887</v>
      </c>
      <c r="CA10" s="13">
        <f t="shared" si="30"/>
        <v>0.81355932203389836</v>
      </c>
      <c r="CB10" s="13">
        <f t="shared" si="31"/>
        <v>1</v>
      </c>
      <c r="CC10" s="55">
        <f t="shared" si="32"/>
        <v>0.33333333333333337</v>
      </c>
      <c r="CD10" s="13"/>
      <c r="CE10" s="105" t="s">
        <v>5</v>
      </c>
      <c r="CF10" s="110">
        <f t="shared" si="35"/>
        <v>0.81470588235294106</v>
      </c>
      <c r="CG10" s="13">
        <f t="shared" si="36"/>
        <v>0.89999999999999991</v>
      </c>
      <c r="CH10" s="13">
        <f t="shared" si="37"/>
        <v>1.4705882352941129E-2</v>
      </c>
      <c r="CI10" s="13">
        <f t="shared" si="38"/>
        <v>0.1</v>
      </c>
      <c r="CJ10" s="13">
        <f t="shared" si="39"/>
        <v>0.1</v>
      </c>
      <c r="CK10" s="13">
        <f t="shared" si="40"/>
        <v>0.36250000000000004</v>
      </c>
      <c r="CL10" s="13">
        <f t="shared" si="41"/>
        <v>0.375</v>
      </c>
      <c r="CM10" s="102">
        <f t="shared" si="42"/>
        <v>0.63750000000000007</v>
      </c>
      <c r="CO10" s="4" t="s">
        <v>6</v>
      </c>
      <c r="CP10" s="13">
        <f t="shared" si="34"/>
        <v>1.0813111962537252E-2</v>
      </c>
      <c r="CQ10" s="13">
        <f t="shared" si="33"/>
        <v>5.5747126436781612E-2</v>
      </c>
      <c r="CR10" s="13">
        <f t="shared" si="33"/>
        <v>4.2571306939123048E-3</v>
      </c>
      <c r="CS10" s="13">
        <f t="shared" si="33"/>
        <v>3.3971902937420168E-2</v>
      </c>
      <c r="CT10" s="13">
        <f t="shared" si="33"/>
        <v>0.11395589758768684</v>
      </c>
      <c r="CU10" s="13">
        <f t="shared" si="33"/>
        <v>0.28888560011839576</v>
      </c>
      <c r="CV10" s="13">
        <f t="shared" si="33"/>
        <v>5.4264713136993742E-2</v>
      </c>
      <c r="CW10" s="13">
        <f t="shared" si="33"/>
        <v>0.18070149474618913</v>
      </c>
      <c r="CY10" s="4" t="s">
        <v>9</v>
      </c>
      <c r="CZ10" s="14">
        <f t="shared" si="5"/>
        <v>1.7676925349317262E-2</v>
      </c>
      <c r="DA10" s="14">
        <f t="shared" si="5"/>
        <v>0.21946623505401305</v>
      </c>
      <c r="DB10" s="14">
        <f t="shared" si="5"/>
        <v>4.6822269425890808E-2</v>
      </c>
      <c r="DC10" s="14">
        <f t="shared" si="5"/>
        <v>0.30974487426104963</v>
      </c>
      <c r="DE10" s="4" t="s">
        <v>9</v>
      </c>
      <c r="DF10" s="14">
        <f t="shared" si="6"/>
        <v>-0.29206794891173238</v>
      </c>
      <c r="DG10" s="14">
        <f t="shared" si="7"/>
        <v>0.17264396562812223</v>
      </c>
      <c r="DH10" s="96">
        <f t="shared" si="8"/>
        <v>2.0531894246230066E-2</v>
      </c>
      <c r="DI10" s="96">
        <f t="shared" si="9"/>
        <v>0.70664665079785571</v>
      </c>
      <c r="DK10" s="14"/>
      <c r="DM10" s="115">
        <f t="shared" si="24"/>
        <v>13</v>
      </c>
      <c r="DO10" s="14"/>
    </row>
    <row r="11" spans="1:119" ht="15.75" thickBot="1" x14ac:dyDescent="0.3">
      <c r="A11" s="42" t="s">
        <v>83</v>
      </c>
      <c r="B11" s="4" t="s">
        <v>10</v>
      </c>
      <c r="C11" s="5">
        <v>38</v>
      </c>
      <c r="D11" s="5">
        <v>30</v>
      </c>
      <c r="E11" s="5">
        <v>1</v>
      </c>
      <c r="F11" s="26">
        <v>3</v>
      </c>
      <c r="H11" s="42" t="s">
        <v>10</v>
      </c>
      <c r="I11" s="4" t="s">
        <v>84</v>
      </c>
      <c r="J11" s="5">
        <v>38</v>
      </c>
      <c r="K11" s="5">
        <v>30</v>
      </c>
      <c r="L11" s="5">
        <v>1</v>
      </c>
      <c r="M11" s="5">
        <v>3</v>
      </c>
      <c r="N11" s="4" t="s">
        <v>85</v>
      </c>
      <c r="O11" s="5">
        <v>62</v>
      </c>
      <c r="P11" s="5">
        <v>42</v>
      </c>
      <c r="Q11" s="5">
        <v>1</v>
      </c>
      <c r="R11" s="26">
        <v>2</v>
      </c>
      <c r="T11" s="42"/>
      <c r="U11" s="5">
        <v>20</v>
      </c>
      <c r="V11" s="5">
        <v>54</v>
      </c>
      <c r="W11" s="53">
        <v>1</v>
      </c>
      <c r="X11" s="52">
        <v>1</v>
      </c>
      <c r="AD11" s="19"/>
      <c r="AL11" s="42" t="s">
        <v>10</v>
      </c>
      <c r="AM11" s="46">
        <f t="shared" si="0"/>
        <v>0.87781350482315113</v>
      </c>
      <c r="AN11" s="47">
        <f t="shared" si="1"/>
        <v>0.16949152542372881</v>
      </c>
      <c r="AO11" s="47">
        <f t="shared" si="2"/>
        <v>3.8461538461538464E-2</v>
      </c>
      <c r="AP11" s="86">
        <f t="shared" si="3"/>
        <v>0.66666666666666663</v>
      </c>
      <c r="AR11" s="42" t="s">
        <v>10</v>
      </c>
      <c r="AS11">
        <v>0</v>
      </c>
      <c r="AT11" s="48">
        <v>0.87781350482315113</v>
      </c>
      <c r="AU11" s="48">
        <v>0.16949152542372881</v>
      </c>
      <c r="AV11" s="48">
        <v>0.96153846153846156</v>
      </c>
      <c r="AW11" s="48">
        <v>0.33333333333333331</v>
      </c>
      <c r="AX11">
        <v>1</v>
      </c>
      <c r="AY11" s="48">
        <v>0.80064308681672025</v>
      </c>
      <c r="AZ11" s="48">
        <v>0.23728813559322035</v>
      </c>
      <c r="BA11" s="48">
        <v>0.96153846153846156</v>
      </c>
      <c r="BB11" s="49">
        <v>0.22222222222222221</v>
      </c>
      <c r="BC11" s="48"/>
      <c r="BD11" s="42" t="s">
        <v>10</v>
      </c>
      <c r="BE11" s="46">
        <f t="shared" si="10"/>
        <v>0.12218649517684887</v>
      </c>
      <c r="BF11" s="47">
        <f t="shared" si="11"/>
        <v>0.83050847457627119</v>
      </c>
      <c r="BG11" s="47">
        <f t="shared" si="12"/>
        <v>0.96153846153846156</v>
      </c>
      <c r="BH11" s="86">
        <f t="shared" si="13"/>
        <v>0.33333333333333337</v>
      </c>
      <c r="BI11" s="48"/>
      <c r="BJ11" s="42" t="s">
        <v>9</v>
      </c>
      <c r="BK11" s="13">
        <f t="shared" si="14"/>
        <v>0.62700964630225076</v>
      </c>
      <c r="BL11" s="13">
        <f t="shared" si="15"/>
        <v>0.14124293785310735</v>
      </c>
      <c r="BM11" s="13">
        <f t="shared" si="16"/>
        <v>0</v>
      </c>
      <c r="BN11" s="13">
        <f t="shared" si="17"/>
        <v>0</v>
      </c>
      <c r="BO11" s="13">
        <f t="shared" si="18"/>
        <v>0.93569131832797425</v>
      </c>
      <c r="BP11" s="13">
        <f t="shared" si="19"/>
        <v>1</v>
      </c>
      <c r="BQ11" s="13">
        <f t="shared" si="20"/>
        <v>0.11538461538461539</v>
      </c>
      <c r="BR11" s="55">
        <f t="shared" si="21"/>
        <v>1</v>
      </c>
      <c r="BS11" s="48"/>
      <c r="BT11" s="48"/>
      <c r="BU11" s="42" t="s">
        <v>9</v>
      </c>
      <c r="BV11" s="13">
        <f t="shared" si="25"/>
        <v>6.4308681672025747E-2</v>
      </c>
      <c r="BW11" s="13">
        <f t="shared" si="26"/>
        <v>0</v>
      </c>
      <c r="BX11" s="13">
        <f t="shared" si="27"/>
        <v>0.88461538461538458</v>
      </c>
      <c r="BY11" s="13">
        <f t="shared" si="28"/>
        <v>0</v>
      </c>
      <c r="BZ11" s="13">
        <f t="shared" si="29"/>
        <v>0.37299035369774924</v>
      </c>
      <c r="CA11" s="13">
        <f t="shared" si="30"/>
        <v>0.85875706214689262</v>
      </c>
      <c r="CB11" s="13">
        <f t="shared" si="31"/>
        <v>1</v>
      </c>
      <c r="CC11" s="55">
        <f t="shared" si="32"/>
        <v>1</v>
      </c>
      <c r="CD11" s="13"/>
      <c r="CE11" s="105" t="s">
        <v>6</v>
      </c>
      <c r="CF11" s="110">
        <f t="shared" si="35"/>
        <v>0.72988505747126442</v>
      </c>
      <c r="CG11" s="13">
        <f t="shared" si="36"/>
        <v>0.8362068965517242</v>
      </c>
      <c r="CH11" s="13">
        <f t="shared" si="37"/>
        <v>5.7471264367816119E-2</v>
      </c>
      <c r="CI11" s="13">
        <f t="shared" si="38"/>
        <v>0.16379310344827583</v>
      </c>
      <c r="CJ11" s="13">
        <f t="shared" si="39"/>
        <v>0.2832618025751073</v>
      </c>
      <c r="CK11" s="13">
        <f t="shared" si="40"/>
        <v>0.52360515021459231</v>
      </c>
      <c r="CL11" s="13">
        <f t="shared" si="41"/>
        <v>0.23605150214592277</v>
      </c>
      <c r="CM11" s="102">
        <f t="shared" si="42"/>
        <v>0.47639484978540775</v>
      </c>
      <c r="CO11" s="4" t="s">
        <v>8</v>
      </c>
      <c r="CP11" s="13">
        <f t="shared" si="34"/>
        <v>1.1930514585381843E-2</v>
      </c>
      <c r="CQ11" s="13">
        <f t="shared" si="33"/>
        <v>5.9193706981317595E-2</v>
      </c>
      <c r="CR11" s="13">
        <f t="shared" si="33"/>
        <v>2.1850759313886163E-3</v>
      </c>
      <c r="CS11" s="13">
        <f t="shared" si="33"/>
        <v>2.3249207909974871E-2</v>
      </c>
      <c r="CT11" s="13">
        <f t="shared" si="33"/>
        <v>6.4445932373619008E-2</v>
      </c>
      <c r="CU11" s="13">
        <f t="shared" si="33"/>
        <v>0.16605289588215599</v>
      </c>
      <c r="CV11" s="13">
        <f t="shared" si="33"/>
        <v>0.12833389130677378</v>
      </c>
      <c r="CW11" s="13">
        <f t="shared" si="33"/>
        <v>0.26514897890860389</v>
      </c>
      <c r="CY11" s="4" t="s">
        <v>10</v>
      </c>
      <c r="CZ11" s="14">
        <f t="shared" si="5"/>
        <v>3.6981922691563314E-2</v>
      </c>
      <c r="DA11" s="14">
        <f t="shared" si="5"/>
        <v>0.21088595966714566</v>
      </c>
      <c r="DB11" s="14">
        <f t="shared" si="5"/>
        <v>0.10795350985766868</v>
      </c>
      <c r="DC11" s="14">
        <f t="shared" si="5"/>
        <v>0.33625642512836773</v>
      </c>
      <c r="DE11" s="4" t="s">
        <v>10</v>
      </c>
      <c r="DF11" s="14">
        <f t="shared" si="6"/>
        <v>-0.29927450243680442</v>
      </c>
      <c r="DG11" s="14">
        <f t="shared" si="7"/>
        <v>0.10293244980947698</v>
      </c>
      <c r="DH11" s="96">
        <f t="shared" si="8"/>
        <v>9.8919201833162686E-3</v>
      </c>
      <c r="DI11" s="96">
        <f t="shared" si="9"/>
        <v>0.60372245581113004</v>
      </c>
      <c r="DK11" s="14"/>
      <c r="DM11" s="115">
        <f t="shared" si="24"/>
        <v>14</v>
      </c>
      <c r="DO11" s="14"/>
    </row>
    <row r="12" spans="1:119" ht="15.75" thickBot="1" x14ac:dyDescent="0.3">
      <c r="A12" s="42" t="s">
        <v>83</v>
      </c>
      <c r="B12" s="4" t="s">
        <v>11</v>
      </c>
      <c r="C12" s="5">
        <v>0</v>
      </c>
      <c r="D12" s="5">
        <v>66</v>
      </c>
      <c r="E12" s="5">
        <v>0</v>
      </c>
      <c r="F12" s="26">
        <v>0</v>
      </c>
      <c r="H12" s="42" t="s">
        <v>11</v>
      </c>
      <c r="I12" s="4" t="s">
        <v>84</v>
      </c>
      <c r="J12" s="5">
        <v>0</v>
      </c>
      <c r="K12" s="5">
        <v>66</v>
      </c>
      <c r="L12" s="5">
        <v>0</v>
      </c>
      <c r="M12" s="5">
        <v>0</v>
      </c>
      <c r="N12" s="4" t="s">
        <v>85</v>
      </c>
      <c r="O12" s="5">
        <v>3</v>
      </c>
      <c r="P12" s="5">
        <v>88</v>
      </c>
      <c r="Q12" s="5">
        <v>0</v>
      </c>
      <c r="R12" s="26">
        <v>0</v>
      </c>
      <c r="T12" s="42"/>
      <c r="U12" s="5">
        <v>20</v>
      </c>
      <c r="V12" s="5">
        <v>56</v>
      </c>
      <c r="W12" s="53">
        <v>2</v>
      </c>
      <c r="X12" s="52">
        <v>1</v>
      </c>
      <c r="AD12" s="19"/>
      <c r="AL12" s="42" t="s">
        <v>11</v>
      </c>
      <c r="AM12" s="46">
        <f t="shared" si="0"/>
        <v>1</v>
      </c>
      <c r="AN12" s="47">
        <f t="shared" si="1"/>
        <v>0.3728813559322034</v>
      </c>
      <c r="AO12" s="47">
        <f t="shared" si="2"/>
        <v>0</v>
      </c>
      <c r="AP12" s="86">
        <f t="shared" si="3"/>
        <v>1</v>
      </c>
      <c r="AR12" s="42" t="s">
        <v>11</v>
      </c>
      <c r="AS12">
        <v>0</v>
      </c>
      <c r="AT12" s="48">
        <v>1</v>
      </c>
      <c r="AU12" s="48">
        <v>0.3728813559322034</v>
      </c>
      <c r="AV12" s="48">
        <v>1</v>
      </c>
      <c r="AW12" s="48">
        <v>0</v>
      </c>
      <c r="AX12">
        <v>1</v>
      </c>
      <c r="AY12" s="48">
        <v>0.99035369774919613</v>
      </c>
      <c r="AZ12" s="48">
        <v>0.49717514124293788</v>
      </c>
      <c r="BA12" s="48">
        <v>1</v>
      </c>
      <c r="BB12" s="49">
        <v>0</v>
      </c>
      <c r="BC12" s="48"/>
      <c r="BD12" s="42" t="s">
        <v>11</v>
      </c>
      <c r="BE12" s="46">
        <f t="shared" si="10"/>
        <v>0</v>
      </c>
      <c r="BF12" s="47">
        <f t="shared" si="11"/>
        <v>0.6271186440677966</v>
      </c>
      <c r="BG12" s="47">
        <f t="shared" si="12"/>
        <v>1</v>
      </c>
      <c r="BH12" s="86">
        <f t="shared" si="13"/>
        <v>0</v>
      </c>
      <c r="BI12" s="48"/>
      <c r="BJ12" s="42" t="s">
        <v>10</v>
      </c>
      <c r="BK12" s="13">
        <f t="shared" si="14"/>
        <v>0.54019292604501612</v>
      </c>
      <c r="BL12" s="13">
        <f t="shared" si="15"/>
        <v>0.16949152542372881</v>
      </c>
      <c r="BM12" s="13">
        <f t="shared" si="16"/>
        <v>3.8461538461538464E-2</v>
      </c>
      <c r="BN12" s="13">
        <f t="shared" si="17"/>
        <v>0.33333333333333331</v>
      </c>
      <c r="BO12" s="13">
        <f t="shared" si="18"/>
        <v>0.87781350482315113</v>
      </c>
      <c r="BP12" s="13">
        <f t="shared" si="19"/>
        <v>0.31638418079096048</v>
      </c>
      <c r="BQ12" s="13">
        <f t="shared" si="20"/>
        <v>0.34615384615384615</v>
      </c>
      <c r="BR12" s="55">
        <f t="shared" si="21"/>
        <v>0.77777777777777779</v>
      </c>
      <c r="BS12" s="48"/>
      <c r="BT12" s="48"/>
      <c r="BU12" s="42" t="s">
        <v>10</v>
      </c>
      <c r="BV12" s="13">
        <f t="shared" si="25"/>
        <v>0.12218649517684887</v>
      </c>
      <c r="BW12" s="13">
        <f t="shared" si="26"/>
        <v>0.68361581920903958</v>
      </c>
      <c r="BX12" s="13">
        <f t="shared" si="27"/>
        <v>0.65384615384615385</v>
      </c>
      <c r="BY12" s="13">
        <f t="shared" si="28"/>
        <v>0.22222222222222221</v>
      </c>
      <c r="BZ12" s="13">
        <f t="shared" si="29"/>
        <v>0.45980707395498388</v>
      </c>
      <c r="CA12" s="13">
        <f t="shared" si="30"/>
        <v>0.83050847457627119</v>
      </c>
      <c r="CB12" s="13">
        <f t="shared" si="31"/>
        <v>0.96153846153846156</v>
      </c>
      <c r="CC12" s="55">
        <f t="shared" si="32"/>
        <v>0.66666666666666674</v>
      </c>
      <c r="CD12" s="13"/>
      <c r="CE12" s="105" t="s">
        <v>8</v>
      </c>
      <c r="CF12" s="110">
        <f t="shared" si="35"/>
        <v>0.80530973451327437</v>
      </c>
      <c r="CG12" s="13">
        <f t="shared" si="36"/>
        <v>0.88790560471976399</v>
      </c>
      <c r="CH12" s="13">
        <f t="shared" si="37"/>
        <v>2.9498525073746323E-2</v>
      </c>
      <c r="CI12" s="13">
        <f t="shared" si="38"/>
        <v>0.11209439528023599</v>
      </c>
      <c r="CJ12" s="13">
        <f t="shared" si="39"/>
        <v>0.16019417475728154</v>
      </c>
      <c r="CK12" s="13">
        <f t="shared" si="40"/>
        <v>0.30097087378640774</v>
      </c>
      <c r="CL12" s="13">
        <f t="shared" si="41"/>
        <v>0.55825242718446599</v>
      </c>
      <c r="CM12" s="102">
        <f t="shared" si="42"/>
        <v>0.69902912621359214</v>
      </c>
      <c r="CO12" s="4" t="s">
        <v>9</v>
      </c>
      <c r="CP12" s="13">
        <f t="shared" si="34"/>
        <v>7.098007098007098E-3</v>
      </c>
      <c r="CQ12" s="13">
        <f t="shared" si="33"/>
        <v>4.7665847665847666E-2</v>
      </c>
      <c r="CR12" s="13">
        <f t="shared" si="33"/>
        <v>3.640003640003641E-3</v>
      </c>
      <c r="CS12" s="13">
        <f t="shared" si="33"/>
        <v>5.9113659113659116E-2</v>
      </c>
      <c r="CT12" s="13">
        <f t="shared" si="33"/>
        <v>3.05698214722426E-2</v>
      </c>
      <c r="CU12" s="13">
        <f t="shared" si="33"/>
        <v>0.29682423226076926</v>
      </c>
      <c r="CV12" s="13">
        <f t="shared" si="33"/>
        <v>0</v>
      </c>
      <c r="CW12" s="13">
        <f t="shared" si="33"/>
        <v>0.17524368514830727</v>
      </c>
      <c r="CY12" s="4" t="s">
        <v>21</v>
      </c>
      <c r="CZ12" s="14">
        <f>(CP21+CT21+CP38+CT38)/$T$41</f>
        <v>6.7757939615993761E-3</v>
      </c>
      <c r="DA12" s="14">
        <f t="shared" ref="DA12:DC12" si="43">(CQ21+CU21+CQ38+CU38)/$T$41</f>
        <v>0.24412937717868033</v>
      </c>
      <c r="DB12" s="14">
        <f t="shared" si="43"/>
        <v>6.2123298711849878E-2</v>
      </c>
      <c r="DC12" s="14">
        <f t="shared" si="43"/>
        <v>0.22319643347988438</v>
      </c>
      <c r="DE12" s="4" t="s">
        <v>21</v>
      </c>
      <c r="DF12" s="14">
        <f t="shared" si="6"/>
        <v>-0.216420639518285</v>
      </c>
      <c r="DG12" s="14">
        <f t="shared" si="7"/>
        <v>0.18200607846683045</v>
      </c>
      <c r="DH12" s="96">
        <f t="shared" si="8"/>
        <v>0.13221987478717093</v>
      </c>
      <c r="DI12" s="96">
        <f t="shared" si="9"/>
        <v>0.72046915796877575</v>
      </c>
      <c r="DK12" s="14"/>
      <c r="DM12" s="115">
        <f t="shared" si="24"/>
        <v>4</v>
      </c>
      <c r="DO12" s="14"/>
    </row>
    <row r="13" spans="1:119" ht="15.75" thickBot="1" x14ac:dyDescent="0.3">
      <c r="A13" s="42" t="s">
        <v>83</v>
      </c>
      <c r="B13" s="4" t="s">
        <v>12</v>
      </c>
      <c r="C13" s="5">
        <v>49</v>
      </c>
      <c r="D13" s="5">
        <v>29</v>
      </c>
      <c r="E13" s="5">
        <v>1</v>
      </c>
      <c r="F13" s="26">
        <v>0</v>
      </c>
      <c r="H13" s="42" t="s">
        <v>12</v>
      </c>
      <c r="I13" s="4" t="s">
        <v>84</v>
      </c>
      <c r="J13" s="5">
        <v>49</v>
      </c>
      <c r="K13" s="5">
        <v>29</v>
      </c>
      <c r="L13" s="5">
        <v>1</v>
      </c>
      <c r="M13" s="5">
        <v>0</v>
      </c>
      <c r="N13" s="4" t="s">
        <v>85</v>
      </c>
      <c r="O13" s="5">
        <v>311</v>
      </c>
      <c r="P13" s="5">
        <v>61</v>
      </c>
      <c r="Q13" s="5">
        <v>16</v>
      </c>
      <c r="R13" s="26">
        <v>7</v>
      </c>
      <c r="T13" s="42"/>
      <c r="U13" s="5">
        <v>28</v>
      </c>
      <c r="V13" s="5">
        <v>60</v>
      </c>
      <c r="W13" s="53">
        <v>2</v>
      </c>
      <c r="X13" s="52">
        <v>1</v>
      </c>
      <c r="AD13" s="19"/>
      <c r="AL13" s="42" t="s">
        <v>12</v>
      </c>
      <c r="AM13" s="46">
        <f t="shared" si="0"/>
        <v>0.842443729903537</v>
      </c>
      <c r="AN13" s="47">
        <f t="shared" si="1"/>
        <v>0.16384180790960451</v>
      </c>
      <c r="AO13" s="47">
        <f t="shared" si="2"/>
        <v>3.8461538461538464E-2</v>
      </c>
      <c r="AP13" s="86">
        <f t="shared" si="3"/>
        <v>1</v>
      </c>
      <c r="AR13" s="42" t="s">
        <v>12</v>
      </c>
      <c r="AS13">
        <v>0</v>
      </c>
      <c r="AT13" s="48">
        <v>0.842443729903537</v>
      </c>
      <c r="AU13" s="48">
        <v>0.16384180790960451</v>
      </c>
      <c r="AV13" s="48">
        <v>0.96153846153846156</v>
      </c>
      <c r="AW13" s="48">
        <v>0</v>
      </c>
      <c r="AX13">
        <v>1</v>
      </c>
      <c r="AY13" s="48">
        <v>0</v>
      </c>
      <c r="AZ13" s="48">
        <v>0.34463276836158191</v>
      </c>
      <c r="BA13" s="48">
        <v>0.38461538461538464</v>
      </c>
      <c r="BB13" s="49">
        <v>0.77777777777777779</v>
      </c>
      <c r="BC13" s="48"/>
      <c r="BD13" s="42" t="s">
        <v>12</v>
      </c>
      <c r="BE13" s="46">
        <f t="shared" si="10"/>
        <v>0.157556270096463</v>
      </c>
      <c r="BF13" s="47">
        <f t="shared" si="11"/>
        <v>0.83615819209039555</v>
      </c>
      <c r="BG13" s="47">
        <f t="shared" si="12"/>
        <v>0.96153846153846156</v>
      </c>
      <c r="BH13" s="86">
        <f t="shared" si="13"/>
        <v>0</v>
      </c>
      <c r="BI13" s="48"/>
      <c r="BJ13" s="42" t="s">
        <v>11</v>
      </c>
      <c r="BK13" s="13">
        <f t="shared" si="14"/>
        <v>0.99035369774919613</v>
      </c>
      <c r="BL13" s="13">
        <f t="shared" si="15"/>
        <v>0.3728813559322034</v>
      </c>
      <c r="BM13" s="13">
        <f t="shared" si="16"/>
        <v>0</v>
      </c>
      <c r="BN13" s="13">
        <f t="shared" si="17"/>
        <v>1</v>
      </c>
      <c r="BO13" s="13">
        <f t="shared" si="18"/>
        <v>1</v>
      </c>
      <c r="BP13" s="13">
        <f t="shared" si="19"/>
        <v>0.63276836158192096</v>
      </c>
      <c r="BQ13" s="13">
        <f t="shared" si="20"/>
        <v>0</v>
      </c>
      <c r="BR13" s="55">
        <f t="shared" si="21"/>
        <v>1</v>
      </c>
      <c r="BS13" s="48"/>
      <c r="BT13" s="48"/>
      <c r="BU13" s="42" t="s">
        <v>11</v>
      </c>
      <c r="BV13" s="13">
        <f t="shared" si="25"/>
        <v>0</v>
      </c>
      <c r="BW13" s="13">
        <f t="shared" si="26"/>
        <v>0.36723163841807904</v>
      </c>
      <c r="BX13" s="13">
        <f t="shared" si="27"/>
        <v>1</v>
      </c>
      <c r="BY13" s="13">
        <f t="shared" si="28"/>
        <v>0</v>
      </c>
      <c r="BZ13" s="13">
        <f t="shared" si="29"/>
        <v>9.6463022508038732E-3</v>
      </c>
      <c r="CA13" s="13">
        <f t="shared" si="30"/>
        <v>0.6271186440677966</v>
      </c>
      <c r="CB13" s="13">
        <f t="shared" si="31"/>
        <v>1</v>
      </c>
      <c r="CC13" s="55">
        <f t="shared" si="32"/>
        <v>0</v>
      </c>
      <c r="CD13" s="13"/>
      <c r="CE13" s="105" t="s">
        <v>9</v>
      </c>
      <c r="CF13" s="110">
        <f t="shared" si="35"/>
        <v>0.47911547911547908</v>
      </c>
      <c r="CG13" s="13">
        <f t="shared" si="36"/>
        <v>0.71498771498771496</v>
      </c>
      <c r="CH13" s="13">
        <f t="shared" si="37"/>
        <v>4.9140049140049158E-2</v>
      </c>
      <c r="CI13" s="13">
        <f t="shared" si="38"/>
        <v>0.28501228501228504</v>
      </c>
      <c r="CJ13" s="13">
        <f t="shared" si="39"/>
        <v>7.598784194528875E-2</v>
      </c>
      <c r="CK13" s="13">
        <f t="shared" si="40"/>
        <v>0.53799392097264431</v>
      </c>
      <c r="CL13" s="13">
        <f t="shared" si="41"/>
        <v>0</v>
      </c>
      <c r="CM13" s="102">
        <f t="shared" si="42"/>
        <v>0.46200607902735558</v>
      </c>
      <c r="CO13" s="4" t="s">
        <v>10</v>
      </c>
      <c r="CP13" s="13">
        <f>CF14*CF$4</f>
        <v>5.9829059829059842E-3</v>
      </c>
      <c r="CQ13" s="13">
        <f t="shared" si="33"/>
        <v>4.3749999999999997E-2</v>
      </c>
      <c r="CR13" s="13">
        <f t="shared" si="33"/>
        <v>6.7663817663817663E-3</v>
      </c>
      <c r="CS13" s="13">
        <f t="shared" si="33"/>
        <v>7.1296296296296288E-2</v>
      </c>
      <c r="CT13" s="13">
        <f t="shared" si="33"/>
        <v>5.9453032104637329E-2</v>
      </c>
      <c r="CU13" s="13">
        <f t="shared" si="33"/>
        <v>0.1521997621878716</v>
      </c>
      <c r="CV13" s="13">
        <f t="shared" si="33"/>
        <v>0.13702508351735462</v>
      </c>
      <c r="CW13" s="13">
        <f t="shared" si="33"/>
        <v>0.27467300832342451</v>
      </c>
      <c r="CY13" s="4" t="s">
        <v>11</v>
      </c>
      <c r="CZ13" s="14">
        <f>(CP14+CT14+CP31+CT31)/$T$41</f>
        <v>6.2695346712639155E-2</v>
      </c>
      <c r="DA13" s="14">
        <f t="shared" ref="DA13:DC13" si="44">(CQ14+CU14+CQ31+CU31)/$T$41</f>
        <v>0.2001320578941608</v>
      </c>
      <c r="DB13" s="14">
        <f t="shared" si="44"/>
        <v>8.8328234562830704E-2</v>
      </c>
      <c r="DC13" s="14">
        <f t="shared" si="44"/>
        <v>0.20329896130383721</v>
      </c>
      <c r="DE13" s="4" t="s">
        <v>11</v>
      </c>
      <c r="DF13" s="14">
        <f t="shared" si="6"/>
        <v>-0.14060361459119805</v>
      </c>
      <c r="DG13" s="14">
        <f t="shared" si="7"/>
        <v>0.1118038233313301</v>
      </c>
      <c r="DH13" s="96">
        <f t="shared" si="8"/>
        <v>0.24415842848624017</v>
      </c>
      <c r="DI13" s="96">
        <f t="shared" si="9"/>
        <v>0.61682042057980135</v>
      </c>
      <c r="DK13" s="14"/>
      <c r="DM13" s="115">
        <f t="shared" si="24"/>
        <v>2</v>
      </c>
      <c r="DO13" s="14"/>
    </row>
    <row r="14" spans="1:119" ht="15.75" thickBot="1" x14ac:dyDescent="0.3">
      <c r="A14" s="42" t="s">
        <v>83</v>
      </c>
      <c r="B14" s="4" t="s">
        <v>13</v>
      </c>
      <c r="C14" s="5">
        <v>11</v>
      </c>
      <c r="D14" s="5">
        <v>54</v>
      </c>
      <c r="E14" s="5">
        <v>2</v>
      </c>
      <c r="F14" s="26">
        <v>0</v>
      </c>
      <c r="H14" s="42" t="s">
        <v>13</v>
      </c>
      <c r="I14" s="4" t="s">
        <v>84</v>
      </c>
      <c r="J14" s="5">
        <v>11</v>
      </c>
      <c r="K14" s="5">
        <v>54</v>
      </c>
      <c r="L14" s="5">
        <v>2</v>
      </c>
      <c r="M14" s="5">
        <v>0</v>
      </c>
      <c r="N14" s="4" t="s">
        <v>85</v>
      </c>
      <c r="O14" s="5">
        <v>7</v>
      </c>
      <c r="P14" s="5">
        <v>68</v>
      </c>
      <c r="Q14" s="5">
        <v>3</v>
      </c>
      <c r="R14" s="26">
        <v>1</v>
      </c>
      <c r="T14" s="42"/>
      <c r="U14" s="5">
        <v>28</v>
      </c>
      <c r="V14" s="5">
        <v>63</v>
      </c>
      <c r="W14" s="53">
        <v>2</v>
      </c>
      <c r="X14" s="5">
        <v>2</v>
      </c>
      <c r="AD14" s="19"/>
      <c r="AL14" s="42" t="s">
        <v>13</v>
      </c>
      <c r="AM14" s="46">
        <f t="shared" si="0"/>
        <v>0.96463022508038587</v>
      </c>
      <c r="AN14" s="47">
        <f t="shared" si="1"/>
        <v>0.30508474576271188</v>
      </c>
      <c r="AO14" s="47">
        <f t="shared" si="2"/>
        <v>7.6923076923076927E-2</v>
      </c>
      <c r="AP14" s="86">
        <f t="shared" si="3"/>
        <v>1</v>
      </c>
      <c r="AR14" s="42" t="s">
        <v>13</v>
      </c>
      <c r="AS14">
        <v>0</v>
      </c>
      <c r="AT14" s="48">
        <v>0.96463022508038587</v>
      </c>
      <c r="AU14" s="48">
        <v>0.30508474576271188</v>
      </c>
      <c r="AV14" s="48">
        <v>0.92307692307692313</v>
      </c>
      <c r="AW14" s="48">
        <v>0</v>
      </c>
      <c r="AX14">
        <v>1</v>
      </c>
      <c r="AY14" s="48">
        <v>0.977491961414791</v>
      </c>
      <c r="AZ14" s="48">
        <v>0.38418079096045199</v>
      </c>
      <c r="BA14" s="48">
        <v>0.88461538461538458</v>
      </c>
      <c r="BB14" s="49">
        <v>0.1111111111111111</v>
      </c>
      <c r="BC14" s="48"/>
      <c r="BD14" s="42" t="s">
        <v>13</v>
      </c>
      <c r="BE14" s="46">
        <f t="shared" si="10"/>
        <v>3.5369774919614128E-2</v>
      </c>
      <c r="BF14" s="47">
        <f t="shared" si="11"/>
        <v>0.69491525423728806</v>
      </c>
      <c r="BG14" s="47">
        <f t="shared" si="12"/>
        <v>0.92307692307692313</v>
      </c>
      <c r="BH14" s="86">
        <f t="shared" si="13"/>
        <v>0</v>
      </c>
      <c r="BI14" s="48"/>
      <c r="BJ14" s="42" t="s">
        <v>12</v>
      </c>
      <c r="BK14" s="13">
        <f t="shared" si="14"/>
        <v>0</v>
      </c>
      <c r="BL14" s="13">
        <f t="shared" si="15"/>
        <v>0.12429378531073447</v>
      </c>
      <c r="BM14" s="13">
        <f t="shared" si="16"/>
        <v>3.8461538461538464E-2</v>
      </c>
      <c r="BN14" s="13">
        <f t="shared" si="17"/>
        <v>0.22222222222222221</v>
      </c>
      <c r="BO14" s="13">
        <f t="shared" si="18"/>
        <v>0.97106109324758838</v>
      </c>
      <c r="BP14" s="13">
        <f t="shared" si="19"/>
        <v>0.41807909604519772</v>
      </c>
      <c r="BQ14" s="13">
        <f t="shared" si="20"/>
        <v>0.61538461538461542</v>
      </c>
      <c r="BR14" s="55">
        <f t="shared" si="21"/>
        <v>1</v>
      </c>
      <c r="BS14" s="48"/>
      <c r="BT14" s="48"/>
      <c r="BU14" s="42" t="s">
        <v>12</v>
      </c>
      <c r="BV14" s="13">
        <f t="shared" si="25"/>
        <v>2.8938906752411619E-2</v>
      </c>
      <c r="BW14" s="13">
        <f t="shared" si="26"/>
        <v>0.58192090395480234</v>
      </c>
      <c r="BX14" s="13">
        <f t="shared" si="27"/>
        <v>0.38461538461538458</v>
      </c>
      <c r="BY14" s="13">
        <f t="shared" si="28"/>
        <v>0</v>
      </c>
      <c r="BZ14" s="13">
        <f t="shared" si="29"/>
        <v>1</v>
      </c>
      <c r="CA14" s="13">
        <f t="shared" si="30"/>
        <v>0.87570621468926557</v>
      </c>
      <c r="CB14" s="13">
        <f t="shared" si="31"/>
        <v>0.96153846153846156</v>
      </c>
      <c r="CC14" s="55">
        <f t="shared" si="32"/>
        <v>0.77777777777777779</v>
      </c>
      <c r="CD14" s="13"/>
      <c r="CE14" s="105" t="s">
        <v>10</v>
      </c>
      <c r="CF14" s="110">
        <f t="shared" si="35"/>
        <v>0.40384615384615391</v>
      </c>
      <c r="CG14" s="13">
        <f t="shared" si="36"/>
        <v>0.65625</v>
      </c>
      <c r="CH14" s="13">
        <f t="shared" si="37"/>
        <v>9.1346153846153855E-2</v>
      </c>
      <c r="CI14" s="13">
        <f t="shared" si="38"/>
        <v>0.34375</v>
      </c>
      <c r="CJ14" s="13">
        <f t="shared" si="39"/>
        <v>0.14778325123152708</v>
      </c>
      <c r="CK14" s="13">
        <f t="shared" si="40"/>
        <v>0.27586206896551729</v>
      </c>
      <c r="CL14" s="13">
        <f t="shared" si="41"/>
        <v>0.59605911330049266</v>
      </c>
      <c r="CM14" s="102">
        <f t="shared" si="42"/>
        <v>0.72413793103448276</v>
      </c>
      <c r="CO14" s="4" t="s">
        <v>11</v>
      </c>
      <c r="CP14" s="13">
        <f t="shared" si="34"/>
        <v>1.453172918141071E-2</v>
      </c>
      <c r="CQ14" s="13">
        <f t="shared" si="33"/>
        <v>6.6029723991507416E-2</v>
      </c>
      <c r="CR14" s="13">
        <f t="shared" si="33"/>
        <v>0</v>
      </c>
      <c r="CS14" s="13">
        <f t="shared" si="33"/>
        <v>1.9815994338287361E-3</v>
      </c>
      <c r="CT14" s="13">
        <f t="shared" si="33"/>
        <v>0.1190660275243544</v>
      </c>
      <c r="CU14" s="13">
        <f t="shared" si="33"/>
        <v>0.27709911860213393</v>
      </c>
      <c r="CV14" s="13">
        <f t="shared" si="33"/>
        <v>6.7006855316736239E-2</v>
      </c>
      <c r="CW14" s="13">
        <f t="shared" si="33"/>
        <v>0.18880470078861913</v>
      </c>
      <c r="CY14" s="4" t="s">
        <v>12</v>
      </c>
      <c r="CZ14" s="14">
        <f t="shared" ref="CZ14:CZ19" si="45">(CP15+CT15+CP32+CT32)/$T$41</f>
        <v>2.3339988800372562E-2</v>
      </c>
      <c r="DA14" s="14">
        <f t="shared" ref="DA14:DA19" si="46">(CQ15+CU15+CQ32+CU32)/$T$41</f>
        <v>0.26536637403481772</v>
      </c>
      <c r="DB14" s="14">
        <f t="shared" ref="DB14:DB19" si="47">(CR15+CV15+CR32+CV32)/$T$41</f>
        <v>6.2907371995728489E-2</v>
      </c>
      <c r="DC14" s="14">
        <f t="shared" ref="DC14:DC19" si="48">(CS15+CW15+CS32+CW32)/$T$41</f>
        <v>0.32478050791721741</v>
      </c>
      <c r="DE14" s="4" t="s">
        <v>12</v>
      </c>
      <c r="DF14" s="14">
        <f t="shared" si="6"/>
        <v>-0.30144051911684483</v>
      </c>
      <c r="DG14" s="14">
        <f t="shared" si="7"/>
        <v>0.20245900203908923</v>
      </c>
      <c r="DH14" s="96">
        <f t="shared" si="8"/>
        <v>6.693947502576598E-3</v>
      </c>
      <c r="DI14" s="96">
        <f t="shared" si="9"/>
        <v>0.75066647428127986</v>
      </c>
      <c r="DK14" s="14"/>
      <c r="DM14" s="115">
        <f t="shared" si="24"/>
        <v>15</v>
      </c>
      <c r="DO14" s="14"/>
    </row>
    <row r="15" spans="1:119" ht="15.75" thickBot="1" x14ac:dyDescent="0.3">
      <c r="A15" s="42" t="s">
        <v>83</v>
      </c>
      <c r="B15" s="4" t="s">
        <v>14</v>
      </c>
      <c r="C15" s="5">
        <v>21</v>
      </c>
      <c r="D15" s="5">
        <v>50</v>
      </c>
      <c r="E15" s="5">
        <v>0</v>
      </c>
      <c r="F15" s="26">
        <v>0</v>
      </c>
      <c r="H15" s="42" t="s">
        <v>14</v>
      </c>
      <c r="I15" s="4" t="s">
        <v>84</v>
      </c>
      <c r="J15" s="5">
        <v>21</v>
      </c>
      <c r="K15" s="5">
        <v>50</v>
      </c>
      <c r="L15" s="5">
        <v>0</v>
      </c>
      <c r="M15" s="5">
        <v>0</v>
      </c>
      <c r="N15" s="4" t="s">
        <v>85</v>
      </c>
      <c r="O15" s="5">
        <v>24</v>
      </c>
      <c r="P15" s="5">
        <v>58</v>
      </c>
      <c r="Q15" s="5">
        <v>1</v>
      </c>
      <c r="R15" s="26">
        <v>1</v>
      </c>
      <c r="T15" s="42"/>
      <c r="U15" s="53">
        <v>51</v>
      </c>
      <c r="V15" s="5">
        <v>66</v>
      </c>
      <c r="W15" s="53">
        <v>3</v>
      </c>
      <c r="X15" s="5">
        <v>5</v>
      </c>
      <c r="AD15" s="19"/>
      <c r="AL15" s="42" t="s">
        <v>14</v>
      </c>
      <c r="AM15" s="46">
        <f t="shared" si="0"/>
        <v>0.932475884244373</v>
      </c>
      <c r="AN15" s="47">
        <f t="shared" si="1"/>
        <v>0.2824858757062147</v>
      </c>
      <c r="AO15" s="47">
        <f t="shared" si="2"/>
        <v>0</v>
      </c>
      <c r="AP15" s="86">
        <f t="shared" si="3"/>
        <v>1</v>
      </c>
      <c r="AR15" s="42" t="s">
        <v>14</v>
      </c>
      <c r="AS15">
        <v>0</v>
      </c>
      <c r="AT15" s="48">
        <v>0.932475884244373</v>
      </c>
      <c r="AU15" s="48">
        <v>0.2824858757062147</v>
      </c>
      <c r="AV15" s="48">
        <v>1</v>
      </c>
      <c r="AW15" s="48">
        <v>0</v>
      </c>
      <c r="AX15">
        <v>1</v>
      </c>
      <c r="AY15" s="48">
        <v>0.92282958199356913</v>
      </c>
      <c r="AZ15" s="48">
        <v>0.32768361581920902</v>
      </c>
      <c r="BA15" s="48">
        <v>0.96153846153846156</v>
      </c>
      <c r="BB15" s="49">
        <v>0.1111111111111111</v>
      </c>
      <c r="BC15" s="48"/>
      <c r="BD15" s="42" t="s">
        <v>14</v>
      </c>
      <c r="BE15" s="46">
        <f t="shared" si="10"/>
        <v>6.7524115755627001E-2</v>
      </c>
      <c r="BF15" s="47">
        <f t="shared" si="11"/>
        <v>0.71751412429378525</v>
      </c>
      <c r="BG15" s="47">
        <f t="shared" si="12"/>
        <v>1</v>
      </c>
      <c r="BH15" s="86">
        <f t="shared" si="13"/>
        <v>0</v>
      </c>
      <c r="BI15" s="48"/>
      <c r="BJ15" s="42" t="s">
        <v>13</v>
      </c>
      <c r="BK15" s="13">
        <f t="shared" si="14"/>
        <v>0.93569131832797425</v>
      </c>
      <c r="BL15" s="13">
        <f t="shared" si="15"/>
        <v>0.30508474576271188</v>
      </c>
      <c r="BM15" s="13">
        <f t="shared" si="16"/>
        <v>0</v>
      </c>
      <c r="BN15" s="13">
        <f t="shared" si="17"/>
        <v>0.44444444444444442</v>
      </c>
      <c r="BO15" s="13">
        <f t="shared" si="18"/>
        <v>0.977491961414791</v>
      </c>
      <c r="BP15" s="13">
        <f t="shared" si="19"/>
        <v>0.65536723163841804</v>
      </c>
      <c r="BQ15" s="13">
        <f t="shared" si="20"/>
        <v>0.11538461538461539</v>
      </c>
      <c r="BR15" s="55">
        <f t="shared" si="21"/>
        <v>1</v>
      </c>
      <c r="BS15" s="48"/>
      <c r="BT15" s="48"/>
      <c r="BU15" s="42" t="s">
        <v>13</v>
      </c>
      <c r="BV15" s="13">
        <f t="shared" si="25"/>
        <v>2.2508038585209E-2</v>
      </c>
      <c r="BW15" s="13">
        <f t="shared" si="26"/>
        <v>0.34463276836158196</v>
      </c>
      <c r="BX15" s="13">
        <f t="shared" si="27"/>
        <v>0.88461538461538458</v>
      </c>
      <c r="BY15" s="13">
        <f t="shared" si="28"/>
        <v>0</v>
      </c>
      <c r="BZ15" s="13">
        <f t="shared" si="29"/>
        <v>6.4308681672025747E-2</v>
      </c>
      <c r="CA15" s="13">
        <f t="shared" si="30"/>
        <v>0.69491525423728806</v>
      </c>
      <c r="CB15" s="13">
        <f t="shared" si="31"/>
        <v>1</v>
      </c>
      <c r="CC15" s="55">
        <f t="shared" si="32"/>
        <v>0.55555555555555558</v>
      </c>
      <c r="CD15" s="13"/>
      <c r="CE15" s="105" t="s">
        <v>11</v>
      </c>
      <c r="CF15" s="110">
        <f t="shared" si="35"/>
        <v>0.98089171974522282</v>
      </c>
      <c r="CG15" s="13">
        <f t="shared" si="36"/>
        <v>0.99044585987261136</v>
      </c>
      <c r="CH15" s="13">
        <f t="shared" si="37"/>
        <v>0</v>
      </c>
      <c r="CI15" s="13">
        <f t="shared" si="38"/>
        <v>9.5541401273885485E-3</v>
      </c>
      <c r="CJ15" s="13">
        <f t="shared" si="39"/>
        <v>0.29596412556053808</v>
      </c>
      <c r="CK15" s="13">
        <f t="shared" si="40"/>
        <v>0.50224215246636772</v>
      </c>
      <c r="CL15" s="13">
        <f t="shared" si="41"/>
        <v>0.29147982062780264</v>
      </c>
      <c r="CM15" s="102">
        <f t="shared" si="42"/>
        <v>0.49775784753363228</v>
      </c>
      <c r="CO15" s="4" t="s">
        <v>12</v>
      </c>
      <c r="CP15" s="13">
        <f t="shared" si="34"/>
        <v>0</v>
      </c>
      <c r="CQ15" s="13">
        <f t="shared" si="33"/>
        <v>3.2843936922240344E-2</v>
      </c>
      <c r="CR15" s="13">
        <f t="shared" si="33"/>
        <v>1.0875475802066355E-3</v>
      </c>
      <c r="CS15" s="13">
        <f t="shared" si="33"/>
        <v>0.10522627031599299</v>
      </c>
      <c r="CT15" s="13">
        <f t="shared" si="33"/>
        <v>3.8648797871806459E-2</v>
      </c>
      <c r="CU15" s="13">
        <f t="shared" si="33"/>
        <v>0.17828640265020326</v>
      </c>
      <c r="CV15" s="13">
        <f t="shared" si="33"/>
        <v>0.10339808261807962</v>
      </c>
      <c r="CW15" s="13">
        <f t="shared" si="33"/>
        <v>0.25673844300557147</v>
      </c>
      <c r="CY15" s="4" t="s">
        <v>13</v>
      </c>
      <c r="CZ15" s="14">
        <f t="shared" si="45"/>
        <v>4.8900316315706252E-2</v>
      </c>
      <c r="DA15" s="14">
        <f t="shared" si="46"/>
        <v>0.21840966420158983</v>
      </c>
      <c r="DB15" s="14">
        <f t="shared" si="47"/>
        <v>7.3399702190067501E-2</v>
      </c>
      <c r="DC15" s="14">
        <f t="shared" si="48"/>
        <v>0.26944821783035694</v>
      </c>
      <c r="DE15" s="4" t="s">
        <v>13</v>
      </c>
      <c r="DF15" s="14">
        <f t="shared" si="6"/>
        <v>-0.2205479015146507</v>
      </c>
      <c r="DG15" s="14">
        <f t="shared" si="7"/>
        <v>0.14500996201152233</v>
      </c>
      <c r="DH15" s="96">
        <f t="shared" si="8"/>
        <v>0.12612626007392394</v>
      </c>
      <c r="DI15" s="96">
        <f t="shared" si="9"/>
        <v>0.66584697024151795</v>
      </c>
      <c r="DK15" s="14"/>
      <c r="DM15" s="115">
        <f t="shared" si="24"/>
        <v>5</v>
      </c>
      <c r="DO15" s="14"/>
    </row>
    <row r="16" spans="1:119" ht="15.75" thickBot="1" x14ac:dyDescent="0.3">
      <c r="A16" s="42" t="s">
        <v>83</v>
      </c>
      <c r="B16" s="4" t="s">
        <v>15</v>
      </c>
      <c r="C16" s="5">
        <v>9</v>
      </c>
      <c r="D16" s="5">
        <v>18</v>
      </c>
      <c r="E16" s="5">
        <v>1</v>
      </c>
      <c r="F16" s="26">
        <v>1</v>
      </c>
      <c r="H16" s="42" t="s">
        <v>15</v>
      </c>
      <c r="I16" s="4" t="s">
        <v>84</v>
      </c>
      <c r="J16" s="5">
        <v>9</v>
      </c>
      <c r="K16" s="5">
        <v>18</v>
      </c>
      <c r="L16" s="5">
        <v>1</v>
      </c>
      <c r="M16" s="5">
        <v>1</v>
      </c>
      <c r="N16" s="4" t="s">
        <v>85</v>
      </c>
      <c r="O16" s="5">
        <v>3</v>
      </c>
      <c r="P16" s="5">
        <v>25</v>
      </c>
      <c r="Q16" s="5">
        <v>0</v>
      </c>
      <c r="R16" s="26">
        <v>1</v>
      </c>
      <c r="T16" s="42"/>
      <c r="U16" s="53">
        <v>52</v>
      </c>
      <c r="V16" s="52">
        <v>70</v>
      </c>
      <c r="W16" s="5">
        <v>4</v>
      </c>
      <c r="X16" s="53">
        <v>6</v>
      </c>
      <c r="AD16" s="19"/>
      <c r="AL16" s="42" t="s">
        <v>15</v>
      </c>
      <c r="AM16" s="46">
        <f t="shared" si="0"/>
        <v>0.97106109324758838</v>
      </c>
      <c r="AN16" s="47">
        <f t="shared" si="1"/>
        <v>0.10169491525423729</v>
      </c>
      <c r="AO16" s="47">
        <f t="shared" si="2"/>
        <v>3.8461538461538464E-2</v>
      </c>
      <c r="AP16" s="86">
        <f t="shared" si="3"/>
        <v>0.88888888888888884</v>
      </c>
      <c r="AR16" s="42" t="s">
        <v>15</v>
      </c>
      <c r="AS16">
        <v>0</v>
      </c>
      <c r="AT16" s="48">
        <v>0.97106109324758838</v>
      </c>
      <c r="AU16" s="48">
        <v>0.10169491525423729</v>
      </c>
      <c r="AV16" s="48">
        <v>0.96153846153846156</v>
      </c>
      <c r="AW16" s="48">
        <v>0.1111111111111111</v>
      </c>
      <c r="AX16">
        <v>1</v>
      </c>
      <c r="AY16" s="48">
        <v>0.99035369774919613</v>
      </c>
      <c r="AZ16" s="48">
        <v>0.14124293785310735</v>
      </c>
      <c r="BA16" s="48">
        <v>1</v>
      </c>
      <c r="BB16" s="49">
        <v>0.1111111111111111</v>
      </c>
      <c r="BC16" s="48"/>
      <c r="BD16" s="42" t="s">
        <v>15</v>
      </c>
      <c r="BE16" s="46">
        <f t="shared" si="10"/>
        <v>2.8938906752411619E-2</v>
      </c>
      <c r="BF16" s="47">
        <f t="shared" si="11"/>
        <v>0.89830508474576276</v>
      </c>
      <c r="BG16" s="47">
        <f t="shared" si="12"/>
        <v>0.96153846153846156</v>
      </c>
      <c r="BH16" s="86">
        <f t="shared" si="13"/>
        <v>0.11111111111111116</v>
      </c>
      <c r="BI16" s="48"/>
      <c r="BJ16" s="42" t="s">
        <v>14</v>
      </c>
      <c r="BK16" s="13">
        <f t="shared" si="14"/>
        <v>0.80064308681672025</v>
      </c>
      <c r="BL16" s="13">
        <f t="shared" si="15"/>
        <v>0.2824858757062147</v>
      </c>
      <c r="BM16" s="13">
        <f t="shared" si="16"/>
        <v>0</v>
      </c>
      <c r="BN16" s="13">
        <f t="shared" si="17"/>
        <v>0.33333333333333331</v>
      </c>
      <c r="BO16" s="13">
        <f t="shared" si="18"/>
        <v>0.932475884244373</v>
      </c>
      <c r="BP16" s="13">
        <f t="shared" si="19"/>
        <v>0.50847457627118642</v>
      </c>
      <c r="BQ16" s="13">
        <f t="shared" si="20"/>
        <v>3.8461538461538464E-2</v>
      </c>
      <c r="BR16" s="55">
        <f t="shared" si="21"/>
        <v>1</v>
      </c>
      <c r="BS16" s="48"/>
      <c r="BT16" s="48"/>
      <c r="BU16" s="42" t="s">
        <v>14</v>
      </c>
      <c r="BV16" s="13">
        <f t="shared" si="25"/>
        <v>6.7524115755627001E-2</v>
      </c>
      <c r="BW16" s="13">
        <f t="shared" si="26"/>
        <v>0.49152542372881358</v>
      </c>
      <c r="BX16" s="13">
        <f t="shared" si="27"/>
        <v>0.96153846153846156</v>
      </c>
      <c r="BY16" s="13">
        <f t="shared" si="28"/>
        <v>0</v>
      </c>
      <c r="BZ16" s="13">
        <f t="shared" si="29"/>
        <v>0.19935691318327975</v>
      </c>
      <c r="CA16" s="13">
        <f t="shared" si="30"/>
        <v>0.71751412429378525</v>
      </c>
      <c r="CB16" s="13">
        <f t="shared" si="31"/>
        <v>1</v>
      </c>
      <c r="CC16" s="55">
        <f t="shared" si="32"/>
        <v>0.66666666666666674</v>
      </c>
      <c r="CD16" s="13"/>
      <c r="CE16" s="105" t="s">
        <v>12</v>
      </c>
      <c r="CF16" s="110">
        <f t="shared" si="35"/>
        <v>0</v>
      </c>
      <c r="CG16" s="13">
        <f t="shared" si="36"/>
        <v>0.4926590538336052</v>
      </c>
      <c r="CH16" s="13">
        <f t="shared" si="37"/>
        <v>1.4681892332789581E-2</v>
      </c>
      <c r="CI16" s="13">
        <f t="shared" si="38"/>
        <v>0.5073409461663948</v>
      </c>
      <c r="CJ16" s="13">
        <f t="shared" si="39"/>
        <v>9.606986899563319E-2</v>
      </c>
      <c r="CK16" s="13">
        <f t="shared" si="40"/>
        <v>0.32314410480349343</v>
      </c>
      <c r="CL16" s="13">
        <f t="shared" si="41"/>
        <v>0.44978165938864634</v>
      </c>
      <c r="CM16" s="102">
        <f t="shared" si="42"/>
        <v>0.67685589519650657</v>
      </c>
      <c r="CO16" s="4" t="s">
        <v>13</v>
      </c>
      <c r="CP16" s="13">
        <f t="shared" si="34"/>
        <v>1.3305898491083677E-2</v>
      </c>
      <c r="CQ16" s="13">
        <f t="shared" si="33"/>
        <v>6.2551440329218097E-2</v>
      </c>
      <c r="CR16" s="13">
        <f t="shared" si="33"/>
        <v>1.6003657978966616E-3</v>
      </c>
      <c r="CS16" s="13">
        <f t="shared" si="33"/>
        <v>1.2802926383173301E-2</v>
      </c>
      <c r="CT16" s="13">
        <f t="shared" si="33"/>
        <v>9.0895974606838861E-2</v>
      </c>
      <c r="CU16" s="13">
        <f t="shared" si="33"/>
        <v>0.26778242677824265</v>
      </c>
      <c r="CV16" s="13">
        <f t="shared" si="33"/>
        <v>5.8673592074255772E-2</v>
      </c>
      <c r="CW16" s="13">
        <f t="shared" si="33"/>
        <v>0.19520992641754434</v>
      </c>
      <c r="CY16" s="4" t="s">
        <v>14</v>
      </c>
      <c r="CZ16" s="14">
        <f t="shared" si="45"/>
        <v>4.8418601751123079E-2</v>
      </c>
      <c r="DA16" s="14">
        <f t="shared" si="46"/>
        <v>0.17031768694321917</v>
      </c>
      <c r="DB16" s="14">
        <f t="shared" si="47"/>
        <v>9.7995287075569801E-2</v>
      </c>
      <c r="DC16" s="14">
        <f t="shared" si="48"/>
        <v>0.30908804507818394</v>
      </c>
      <c r="DE16" s="4" t="s">
        <v>14</v>
      </c>
      <c r="DF16" s="14">
        <f t="shared" si="6"/>
        <v>-0.26066944332706088</v>
      </c>
      <c r="DG16" s="14">
        <f t="shared" si="7"/>
        <v>7.2322399867649365E-2</v>
      </c>
      <c r="DH16" s="96">
        <f t="shared" si="8"/>
        <v>6.6889599614389242E-2</v>
      </c>
      <c r="DI16" s="96">
        <f t="shared" si="9"/>
        <v>0.55852885025301613</v>
      </c>
      <c r="DK16" s="14"/>
      <c r="DM16" s="115">
        <f t="shared" si="24"/>
        <v>10</v>
      </c>
      <c r="DO16" s="14"/>
    </row>
    <row r="17" spans="1:119" ht="15.75" thickBot="1" x14ac:dyDescent="0.3">
      <c r="A17" s="42" t="s">
        <v>83</v>
      </c>
      <c r="B17" s="4" t="s">
        <v>16</v>
      </c>
      <c r="C17" s="5">
        <v>38</v>
      </c>
      <c r="D17" s="5">
        <v>40</v>
      </c>
      <c r="E17" s="5">
        <v>1</v>
      </c>
      <c r="F17" s="26">
        <v>3</v>
      </c>
      <c r="H17" s="42" t="s">
        <v>16</v>
      </c>
      <c r="I17" s="4" t="s">
        <v>84</v>
      </c>
      <c r="J17" s="5">
        <v>38</v>
      </c>
      <c r="K17" s="5">
        <v>40</v>
      </c>
      <c r="L17" s="5">
        <v>1</v>
      </c>
      <c r="M17" s="5">
        <v>3</v>
      </c>
      <c r="N17" s="4" t="s">
        <v>85</v>
      </c>
      <c r="O17" s="5">
        <v>50</v>
      </c>
      <c r="P17" s="5">
        <v>39</v>
      </c>
      <c r="Q17" s="5">
        <v>3</v>
      </c>
      <c r="R17" s="26">
        <v>2</v>
      </c>
      <c r="T17" s="42"/>
      <c r="U17" s="53">
        <v>79</v>
      </c>
      <c r="V17" s="52">
        <v>72</v>
      </c>
      <c r="W17" s="5">
        <v>8</v>
      </c>
      <c r="X17" s="53">
        <v>6</v>
      </c>
      <c r="AD17" s="19"/>
      <c r="AL17" s="42" t="s">
        <v>16</v>
      </c>
      <c r="AM17" s="46">
        <f t="shared" si="0"/>
        <v>0.87781350482315113</v>
      </c>
      <c r="AN17" s="47">
        <f t="shared" si="1"/>
        <v>0.22598870056497175</v>
      </c>
      <c r="AO17" s="47">
        <f t="shared" si="2"/>
        <v>3.8461538461538464E-2</v>
      </c>
      <c r="AP17" s="86">
        <f t="shared" si="3"/>
        <v>0.66666666666666663</v>
      </c>
      <c r="AR17" s="42" t="s">
        <v>16</v>
      </c>
      <c r="AS17">
        <v>0</v>
      </c>
      <c r="AT17" s="48">
        <v>0.87781350482315113</v>
      </c>
      <c r="AU17" s="48">
        <v>0.22598870056497175</v>
      </c>
      <c r="AV17" s="48">
        <v>0.96153846153846156</v>
      </c>
      <c r="AW17" s="48">
        <v>0.33333333333333331</v>
      </c>
      <c r="AX17">
        <v>1</v>
      </c>
      <c r="AY17" s="48">
        <v>0.83922829581993574</v>
      </c>
      <c r="AZ17" s="48">
        <v>0.22033898305084745</v>
      </c>
      <c r="BA17" s="48">
        <v>0.88461538461538458</v>
      </c>
      <c r="BB17" s="49">
        <v>0.22222222222222221</v>
      </c>
      <c r="BC17" s="48"/>
      <c r="BD17" s="42" t="s">
        <v>16</v>
      </c>
      <c r="BE17" s="46">
        <f t="shared" si="10"/>
        <v>0.12218649517684887</v>
      </c>
      <c r="BF17" s="47">
        <f t="shared" si="11"/>
        <v>0.77401129943502822</v>
      </c>
      <c r="BG17" s="47">
        <f t="shared" si="12"/>
        <v>0.96153846153846156</v>
      </c>
      <c r="BH17" s="86">
        <f t="shared" si="13"/>
        <v>0.33333333333333337</v>
      </c>
      <c r="BI17" s="48"/>
      <c r="BJ17" s="42" t="s">
        <v>15</v>
      </c>
      <c r="BK17" s="13">
        <f t="shared" si="14"/>
        <v>0.96784565916398713</v>
      </c>
      <c r="BL17" s="13">
        <f t="shared" si="15"/>
        <v>0.10169491525423729</v>
      </c>
      <c r="BM17" s="13">
        <f t="shared" si="16"/>
        <v>0</v>
      </c>
      <c r="BN17" s="13">
        <f t="shared" si="17"/>
        <v>0.77777777777777779</v>
      </c>
      <c r="BO17" s="13">
        <f t="shared" si="18"/>
        <v>0.99035369774919613</v>
      </c>
      <c r="BP17" s="13">
        <f t="shared" si="19"/>
        <v>0.42372881355932202</v>
      </c>
      <c r="BQ17" s="13">
        <f t="shared" si="20"/>
        <v>0.11538461538461539</v>
      </c>
      <c r="BR17" s="55">
        <f t="shared" si="21"/>
        <v>1</v>
      </c>
      <c r="BS17" s="48"/>
      <c r="BT17" s="48"/>
      <c r="BU17" s="42" t="s">
        <v>15</v>
      </c>
      <c r="BV17" s="13">
        <f t="shared" si="25"/>
        <v>9.6463022508038732E-3</v>
      </c>
      <c r="BW17" s="13">
        <f t="shared" si="26"/>
        <v>0.57627118644067798</v>
      </c>
      <c r="BX17" s="13">
        <f t="shared" si="27"/>
        <v>0.88461538461538458</v>
      </c>
      <c r="BY17" s="13">
        <f t="shared" si="28"/>
        <v>0</v>
      </c>
      <c r="BZ17" s="13">
        <f t="shared" si="29"/>
        <v>3.2154340836012874E-2</v>
      </c>
      <c r="CA17" s="13">
        <f t="shared" si="30"/>
        <v>0.89830508474576276</v>
      </c>
      <c r="CB17" s="13">
        <f t="shared" si="31"/>
        <v>1</v>
      </c>
      <c r="CC17" s="55">
        <f t="shared" si="32"/>
        <v>0.22222222222222221</v>
      </c>
      <c r="CD17" s="13"/>
      <c r="CE17" s="105" t="s">
        <v>13</v>
      </c>
      <c r="CF17" s="110">
        <f t="shared" si="35"/>
        <v>0.89814814814814814</v>
      </c>
      <c r="CG17" s="13">
        <f t="shared" si="36"/>
        <v>0.93827160493827155</v>
      </c>
      <c r="CH17" s="13">
        <f t="shared" si="37"/>
        <v>2.1604938271604934E-2</v>
      </c>
      <c r="CI17" s="13">
        <f t="shared" si="38"/>
        <v>6.1728395061728419E-2</v>
      </c>
      <c r="CJ17" s="13">
        <f t="shared" si="39"/>
        <v>0.22594142259414229</v>
      </c>
      <c r="CK17" s="13">
        <f t="shared" si="40"/>
        <v>0.48535564853556484</v>
      </c>
      <c r="CL17" s="13">
        <f t="shared" si="41"/>
        <v>0.25523012552301261</v>
      </c>
      <c r="CM17" s="102">
        <f t="shared" si="42"/>
        <v>0.5146443514644351</v>
      </c>
      <c r="CO17" s="4" t="s">
        <v>14</v>
      </c>
      <c r="CP17" s="13">
        <f t="shared" si="34"/>
        <v>1.047979797979798E-2</v>
      </c>
      <c r="CQ17" s="13">
        <f t="shared" si="33"/>
        <v>5.4924242424242424E-2</v>
      </c>
      <c r="CR17" s="13">
        <f t="shared" si="33"/>
        <v>4.4191919191919182E-3</v>
      </c>
      <c r="CS17" s="13">
        <f t="shared" si="33"/>
        <v>3.6531986531986534E-2</v>
      </c>
      <c r="CT17" s="13">
        <f t="shared" si="33"/>
        <v>9.2695587690025963E-2</v>
      </c>
      <c r="CU17" s="13">
        <f t="shared" si="33"/>
        <v>0.22882567932623551</v>
      </c>
      <c r="CV17" s="13">
        <f t="shared" si="33"/>
        <v>9.2165898617511524E-2</v>
      </c>
      <c r="CW17" s="13">
        <f t="shared" si="33"/>
        <v>0.22199269029079929</v>
      </c>
      <c r="CY17" s="4" t="s">
        <v>15</v>
      </c>
      <c r="CZ17" s="14">
        <f>(CP18+CT18+CP35+CT35)/$T$41</f>
        <v>2.11032013224015E-2</v>
      </c>
      <c r="DA17" s="14">
        <f t="shared" si="46"/>
        <v>0.18353310854229721</v>
      </c>
      <c r="DB17" s="14">
        <f t="shared" si="47"/>
        <v>9.2467273418328222E-2</v>
      </c>
      <c r="DC17" s="14">
        <f t="shared" si="48"/>
        <v>0.26156140545665313</v>
      </c>
      <c r="DE17" s="4" t="s">
        <v>15</v>
      </c>
      <c r="DF17" s="14">
        <f t="shared" si="6"/>
        <v>-0.24045820413425162</v>
      </c>
      <c r="DG17" s="14">
        <f t="shared" si="7"/>
        <v>9.1065835123968986E-2</v>
      </c>
      <c r="DH17" s="96">
        <f t="shared" si="8"/>
        <v>9.6730085783356873E-2</v>
      </c>
      <c r="DI17" s="96">
        <f t="shared" si="9"/>
        <v>0.5862022261994122</v>
      </c>
      <c r="DK17" s="14"/>
      <c r="DM17" s="115">
        <f t="shared" si="24"/>
        <v>7</v>
      </c>
      <c r="DO17" s="14"/>
    </row>
    <row r="18" spans="1:119" ht="15.75" thickBot="1" x14ac:dyDescent="0.3">
      <c r="A18" s="42" t="s">
        <v>83</v>
      </c>
      <c r="B18" s="4" t="s">
        <v>17</v>
      </c>
      <c r="C18" s="5">
        <v>6</v>
      </c>
      <c r="D18" s="5">
        <v>9</v>
      </c>
      <c r="E18" s="5">
        <v>0</v>
      </c>
      <c r="F18" s="26">
        <v>0</v>
      </c>
      <c r="H18" s="42" t="s">
        <v>17</v>
      </c>
      <c r="I18" s="4" t="s">
        <v>84</v>
      </c>
      <c r="J18" s="5">
        <v>6</v>
      </c>
      <c r="K18" s="5">
        <v>9</v>
      </c>
      <c r="L18" s="5">
        <v>0</v>
      </c>
      <c r="M18" s="5">
        <v>0</v>
      </c>
      <c r="N18" s="4" t="s">
        <v>85</v>
      </c>
      <c r="O18" s="5">
        <v>4</v>
      </c>
      <c r="P18" s="5">
        <v>12</v>
      </c>
      <c r="Q18" s="5">
        <v>0</v>
      </c>
      <c r="R18" s="26">
        <v>0</v>
      </c>
      <c r="T18" s="42"/>
      <c r="U18" s="53">
        <v>108</v>
      </c>
      <c r="V18" s="52">
        <v>90</v>
      </c>
      <c r="W18" s="52">
        <v>15</v>
      </c>
      <c r="X18" s="53">
        <v>9</v>
      </c>
      <c r="AD18" s="19"/>
      <c r="AL18" s="42" t="s">
        <v>17</v>
      </c>
      <c r="AM18" s="46">
        <f t="shared" si="0"/>
        <v>0.98070739549839225</v>
      </c>
      <c r="AN18" s="47">
        <f t="shared" si="1"/>
        <v>5.0847457627118647E-2</v>
      </c>
      <c r="AO18" s="47">
        <f t="shared" si="2"/>
        <v>0</v>
      </c>
      <c r="AP18" s="86">
        <f t="shared" si="3"/>
        <v>1</v>
      </c>
      <c r="AR18" s="42" t="s">
        <v>17</v>
      </c>
      <c r="AS18">
        <v>0</v>
      </c>
      <c r="AT18" s="48">
        <v>0.98070739549839225</v>
      </c>
      <c r="AU18" s="48">
        <v>5.0847457627118647E-2</v>
      </c>
      <c r="AV18" s="48">
        <v>1</v>
      </c>
      <c r="AW18" s="48">
        <v>0</v>
      </c>
      <c r="AX18">
        <v>1</v>
      </c>
      <c r="AY18" s="48">
        <v>0.98713826366559487</v>
      </c>
      <c r="AZ18" s="48">
        <v>6.7796610169491525E-2</v>
      </c>
      <c r="BA18" s="48">
        <v>1</v>
      </c>
      <c r="BB18" s="49">
        <v>0</v>
      </c>
      <c r="BC18" s="48"/>
      <c r="BD18" s="42" t="s">
        <v>17</v>
      </c>
      <c r="BE18" s="46">
        <f t="shared" si="10"/>
        <v>1.9292604501607746E-2</v>
      </c>
      <c r="BF18" s="47">
        <f t="shared" si="11"/>
        <v>0.94915254237288138</v>
      </c>
      <c r="BG18" s="47">
        <f t="shared" si="12"/>
        <v>1</v>
      </c>
      <c r="BH18" s="86">
        <f t="shared" si="13"/>
        <v>0</v>
      </c>
      <c r="BI18" s="48"/>
      <c r="BJ18" s="42" t="s">
        <v>16</v>
      </c>
      <c r="BK18" s="13">
        <f t="shared" si="14"/>
        <v>0.57234726688102899</v>
      </c>
      <c r="BL18" s="13">
        <f t="shared" si="15"/>
        <v>0.19209039548022599</v>
      </c>
      <c r="BM18" s="13">
        <f t="shared" si="16"/>
        <v>3.8461538461538464E-2</v>
      </c>
      <c r="BN18" s="13">
        <f t="shared" si="17"/>
        <v>0</v>
      </c>
      <c r="BO18" s="13">
        <f t="shared" si="18"/>
        <v>0.87781350482315113</v>
      </c>
      <c r="BP18" s="13">
        <f t="shared" si="19"/>
        <v>0.48022598870056499</v>
      </c>
      <c r="BQ18" s="13">
        <f t="shared" si="20"/>
        <v>0.57692307692307687</v>
      </c>
      <c r="BR18" s="55">
        <f t="shared" si="21"/>
        <v>0.77777777777777779</v>
      </c>
      <c r="BS18" s="48"/>
      <c r="BT18" s="48"/>
      <c r="BU18" s="42" t="s">
        <v>16</v>
      </c>
      <c r="BV18" s="13">
        <f t="shared" si="25"/>
        <v>0.12218649517684887</v>
      </c>
      <c r="BW18" s="13">
        <f t="shared" si="26"/>
        <v>0.51977401129943501</v>
      </c>
      <c r="BX18" s="13">
        <f t="shared" si="27"/>
        <v>0.42307692307692313</v>
      </c>
      <c r="BY18" s="13">
        <f t="shared" si="28"/>
        <v>0.22222222222222221</v>
      </c>
      <c r="BZ18" s="13">
        <f t="shared" si="29"/>
        <v>0.42765273311897101</v>
      </c>
      <c r="CA18" s="13">
        <f t="shared" si="30"/>
        <v>0.80790960451977401</v>
      </c>
      <c r="CB18" s="13">
        <f t="shared" si="31"/>
        <v>0.96153846153846156</v>
      </c>
      <c r="CC18" s="55">
        <f t="shared" si="32"/>
        <v>1</v>
      </c>
      <c r="CD18" s="13"/>
      <c r="CE18" s="105" t="s">
        <v>14</v>
      </c>
      <c r="CF18" s="110">
        <f t="shared" si="35"/>
        <v>0.70738636363636365</v>
      </c>
      <c r="CG18" s="13">
        <f t="shared" si="36"/>
        <v>0.82386363636363635</v>
      </c>
      <c r="CH18" s="13">
        <f t="shared" si="37"/>
        <v>5.9659090909090898E-2</v>
      </c>
      <c r="CI18" s="13">
        <f t="shared" si="38"/>
        <v>0.17613636363636365</v>
      </c>
      <c r="CJ18" s="13">
        <f t="shared" si="39"/>
        <v>0.23041474654377883</v>
      </c>
      <c r="CK18" s="13">
        <f t="shared" si="40"/>
        <v>0.41474654377880188</v>
      </c>
      <c r="CL18" s="13">
        <f t="shared" si="41"/>
        <v>0.40092165898617516</v>
      </c>
      <c r="CM18" s="102">
        <f t="shared" si="42"/>
        <v>0.58525345622119818</v>
      </c>
      <c r="CO18" s="4" t="s">
        <v>15</v>
      </c>
      <c r="CP18" s="13">
        <f t="shared" si="34"/>
        <v>1.4022827859305847E-2</v>
      </c>
      <c r="CQ18" s="13">
        <f t="shared" si="33"/>
        <v>6.4570230607966461E-2</v>
      </c>
      <c r="CR18" s="13">
        <f t="shared" si="33"/>
        <v>6.9881201956673749E-4</v>
      </c>
      <c r="CS18" s="13">
        <f t="shared" si="33"/>
        <v>6.5222455159562103E-3</v>
      </c>
      <c r="CT18" s="13">
        <f t="shared" si="33"/>
        <v>3.0946065428824051E-2</v>
      </c>
      <c r="CU18" s="13">
        <f t="shared" si="33"/>
        <v>0.17683465959328026</v>
      </c>
      <c r="CV18" s="13">
        <f t="shared" si="33"/>
        <v>0.10020630710285883</v>
      </c>
      <c r="CW18" s="13">
        <f t="shared" si="33"/>
        <v>0.25773651635720601</v>
      </c>
      <c r="CY18" s="4" t="s">
        <v>16</v>
      </c>
      <c r="CZ18" s="14">
        <f t="shared" si="45"/>
        <v>3.6534137729157375E-2</v>
      </c>
      <c r="DA18" s="14">
        <f t="shared" si="46"/>
        <v>0.27332396575408313</v>
      </c>
      <c r="DB18" s="14">
        <f t="shared" si="47"/>
        <v>7.2204263995528845E-2</v>
      </c>
      <c r="DC18" s="14">
        <f t="shared" si="48"/>
        <v>0.3246203429423698</v>
      </c>
      <c r="DE18" s="4" t="s">
        <v>16</v>
      </c>
      <c r="DF18" s="14">
        <f t="shared" si="6"/>
        <v>-0.28808620521321243</v>
      </c>
      <c r="DG18" s="14">
        <f t="shared" si="7"/>
        <v>0.20111970175855429</v>
      </c>
      <c r="DH18" s="96">
        <f t="shared" si="8"/>
        <v>2.6410661333719249E-2</v>
      </c>
      <c r="DI18" s="96">
        <f t="shared" si="9"/>
        <v>0.74868909075144574</v>
      </c>
      <c r="DK18" s="14"/>
      <c r="DM18" s="115">
        <f t="shared" si="24"/>
        <v>12</v>
      </c>
      <c r="DO18" s="14"/>
    </row>
    <row r="19" spans="1:119" ht="15.75" thickBot="1" x14ac:dyDescent="0.3">
      <c r="A19" s="61" t="s">
        <v>83</v>
      </c>
      <c r="B19" s="65" t="s">
        <v>21</v>
      </c>
      <c r="C19" s="27">
        <v>0</v>
      </c>
      <c r="D19" s="27">
        <v>0</v>
      </c>
      <c r="E19" s="27">
        <v>0</v>
      </c>
      <c r="F19" s="28">
        <v>0</v>
      </c>
      <c r="H19" s="42" t="s">
        <v>21</v>
      </c>
      <c r="I19" s="4" t="s">
        <v>84</v>
      </c>
      <c r="J19" s="5">
        <v>0</v>
      </c>
      <c r="K19" s="5">
        <v>0</v>
      </c>
      <c r="L19" s="5">
        <v>0</v>
      </c>
      <c r="M19" s="5">
        <v>0</v>
      </c>
      <c r="N19" s="4" t="s">
        <v>85</v>
      </c>
      <c r="O19" s="5">
        <v>0</v>
      </c>
      <c r="P19" s="5">
        <v>0</v>
      </c>
      <c r="Q19" s="5">
        <v>0</v>
      </c>
      <c r="R19" s="26">
        <v>0</v>
      </c>
      <c r="T19" s="42"/>
      <c r="U19" s="53">
        <v>116</v>
      </c>
      <c r="V19" s="52">
        <v>96</v>
      </c>
      <c r="W19" s="52">
        <v>26</v>
      </c>
      <c r="X19" s="53">
        <v>9</v>
      </c>
      <c r="AD19" s="19"/>
      <c r="AL19" s="79" t="s">
        <v>21</v>
      </c>
      <c r="AM19" s="90">
        <f t="shared" si="0"/>
        <v>1</v>
      </c>
      <c r="AN19" s="91">
        <f t="shared" si="1"/>
        <v>0</v>
      </c>
      <c r="AO19" s="91">
        <f t="shared" si="2"/>
        <v>0</v>
      </c>
      <c r="AP19" s="92">
        <f t="shared" si="3"/>
        <v>1</v>
      </c>
      <c r="AR19" s="42" t="s">
        <v>21</v>
      </c>
      <c r="AS19">
        <v>0</v>
      </c>
      <c r="AT19" s="48">
        <v>1</v>
      </c>
      <c r="AU19" s="48">
        <v>0</v>
      </c>
      <c r="AV19" s="48">
        <v>1</v>
      </c>
      <c r="AW19" s="48">
        <v>0</v>
      </c>
      <c r="AX19">
        <v>1</v>
      </c>
      <c r="AY19" s="48">
        <v>1</v>
      </c>
      <c r="AZ19" s="48">
        <v>0</v>
      </c>
      <c r="BA19" s="48">
        <v>1</v>
      </c>
      <c r="BB19" s="49">
        <v>0</v>
      </c>
      <c r="BC19" s="48"/>
      <c r="BD19" s="79" t="s">
        <v>21</v>
      </c>
      <c r="BE19" s="90">
        <f t="shared" si="10"/>
        <v>0</v>
      </c>
      <c r="BF19" s="91">
        <f t="shared" si="11"/>
        <v>1</v>
      </c>
      <c r="BG19" s="91">
        <f t="shared" si="12"/>
        <v>1</v>
      </c>
      <c r="BH19" s="92">
        <f t="shared" si="13"/>
        <v>0</v>
      </c>
      <c r="BI19" s="48"/>
      <c r="BJ19" s="42" t="s">
        <v>17</v>
      </c>
      <c r="BK19" s="13">
        <f t="shared" si="14"/>
        <v>0.91639871382636651</v>
      </c>
      <c r="BL19" s="13">
        <f t="shared" si="15"/>
        <v>5.0847457627118647E-2</v>
      </c>
      <c r="BM19" s="13">
        <f t="shared" si="16"/>
        <v>0</v>
      </c>
      <c r="BN19" s="13">
        <f t="shared" si="17"/>
        <v>0.77777777777777779</v>
      </c>
      <c r="BO19" s="13">
        <f t="shared" si="18"/>
        <v>0.98713826366559487</v>
      </c>
      <c r="BP19" s="13">
        <f t="shared" si="19"/>
        <v>0.29943502824858759</v>
      </c>
      <c r="BQ19" s="13">
        <f t="shared" si="20"/>
        <v>3.8461538461538464E-2</v>
      </c>
      <c r="BR19" s="55">
        <f t="shared" si="21"/>
        <v>1</v>
      </c>
      <c r="BS19" s="48"/>
      <c r="BT19" s="48"/>
      <c r="BU19" s="42" t="s">
        <v>17</v>
      </c>
      <c r="BV19" s="13">
        <f t="shared" si="25"/>
        <v>1.2861736334405127E-2</v>
      </c>
      <c r="BW19" s="13">
        <f t="shared" si="26"/>
        <v>0.70056497175141241</v>
      </c>
      <c r="BX19" s="13">
        <f t="shared" si="27"/>
        <v>0.96153846153846156</v>
      </c>
      <c r="BY19" s="13">
        <f t="shared" si="28"/>
        <v>0</v>
      </c>
      <c r="BZ19" s="13">
        <f t="shared" si="29"/>
        <v>8.3601286173633493E-2</v>
      </c>
      <c r="CA19" s="13">
        <f t="shared" si="30"/>
        <v>0.94915254237288138</v>
      </c>
      <c r="CB19" s="13">
        <f t="shared" si="31"/>
        <v>1</v>
      </c>
      <c r="CC19" s="55">
        <f t="shared" si="32"/>
        <v>0.22222222222222221</v>
      </c>
      <c r="CD19" s="13"/>
      <c r="CE19" s="105" t="s">
        <v>15</v>
      </c>
      <c r="CF19" s="110">
        <f t="shared" si="35"/>
        <v>0.94654088050314467</v>
      </c>
      <c r="CG19" s="13">
        <f t="shared" si="36"/>
        <v>0.96855345911949686</v>
      </c>
      <c r="CH19" s="13">
        <f t="shared" si="37"/>
        <v>9.4339622641509569E-3</v>
      </c>
      <c r="CI19" s="13">
        <f t="shared" si="38"/>
        <v>3.1446540880503158E-2</v>
      </c>
      <c r="CJ19" s="13">
        <f t="shared" si="39"/>
        <v>7.6923076923076927E-2</v>
      </c>
      <c r="CK19" s="13">
        <f t="shared" si="40"/>
        <v>0.32051282051282048</v>
      </c>
      <c r="CL19" s="13">
        <f t="shared" si="41"/>
        <v>0.4358974358974359</v>
      </c>
      <c r="CM19" s="102">
        <f t="shared" si="42"/>
        <v>0.67948717948717952</v>
      </c>
      <c r="CO19" s="4" t="s">
        <v>16</v>
      </c>
      <c r="CP19" s="13">
        <f t="shared" si="34"/>
        <v>6.4951651158547726E-3</v>
      </c>
      <c r="CQ19" s="13">
        <f t="shared" si="33"/>
        <v>4.4827586206896558E-2</v>
      </c>
      <c r="CR19" s="13">
        <f t="shared" si="33"/>
        <v>6.9330414158000368E-3</v>
      </c>
      <c r="CS19" s="13">
        <f t="shared" si="33"/>
        <v>6.7943805874840349E-2</v>
      </c>
      <c r="CT19" s="13">
        <f t="shared" si="33"/>
        <v>5.9991933857632587E-2</v>
      </c>
      <c r="CU19" s="13">
        <f t="shared" si="33"/>
        <v>0.20568663036902601</v>
      </c>
      <c r="CV19" s="13">
        <f t="shared" si="33"/>
        <v>9.2760637225247022E-2</v>
      </c>
      <c r="CW19" s="13">
        <f t="shared" si="33"/>
        <v>0.2379007864488808</v>
      </c>
      <c r="CY19" s="4" t="s">
        <v>17</v>
      </c>
      <c r="CZ19" s="14">
        <f t="shared" si="45"/>
        <v>1.3638605468025816E-2</v>
      </c>
      <c r="DA19" s="14">
        <f t="shared" si="46"/>
        <v>0.13662648683168521</v>
      </c>
      <c r="DB19" s="14">
        <f t="shared" si="47"/>
        <v>0.11361775122011904</v>
      </c>
      <c r="DC19" s="14">
        <f t="shared" si="48"/>
        <v>0.2880193891109199</v>
      </c>
      <c r="DE19" s="4" t="s">
        <v>17</v>
      </c>
      <c r="DF19" s="14">
        <f t="shared" si="6"/>
        <v>-0.27438078364289409</v>
      </c>
      <c r="DG19" s="14">
        <f t="shared" si="7"/>
        <v>2.3008735611566175E-2</v>
      </c>
      <c r="DH19" s="96">
        <f t="shared" si="8"/>
        <v>4.6645761166413349E-2</v>
      </c>
      <c r="DI19" s="96">
        <f t="shared" si="9"/>
        <v>0.48572066159438559</v>
      </c>
      <c r="DK19" s="14"/>
      <c r="DM19" s="116">
        <f t="shared" si="24"/>
        <v>11</v>
      </c>
      <c r="DO19" s="14"/>
    </row>
    <row r="20" spans="1:119" ht="15.75" thickBot="1" x14ac:dyDescent="0.3">
      <c r="A20" s="42" t="s">
        <v>108</v>
      </c>
      <c r="B20" s="4" t="s">
        <v>1</v>
      </c>
      <c r="C20" s="5">
        <v>4</v>
      </c>
      <c r="D20" s="5">
        <v>43</v>
      </c>
      <c r="E20" s="5">
        <v>1</v>
      </c>
      <c r="F20" s="26">
        <v>0</v>
      </c>
      <c r="H20" s="42" t="s">
        <v>1</v>
      </c>
      <c r="I20" s="4" t="s">
        <v>109</v>
      </c>
      <c r="J20" s="5">
        <v>144</v>
      </c>
      <c r="K20" s="5">
        <v>51</v>
      </c>
      <c r="L20" s="5">
        <v>6</v>
      </c>
      <c r="M20" s="5">
        <v>2</v>
      </c>
      <c r="N20" s="4" t="s">
        <v>110</v>
      </c>
      <c r="O20" s="5">
        <v>10</v>
      </c>
      <c r="P20" s="5">
        <v>88</v>
      </c>
      <c r="Q20" s="5">
        <v>1</v>
      </c>
      <c r="R20" s="26">
        <v>2</v>
      </c>
      <c r="T20" s="42"/>
      <c r="AD20" s="19"/>
      <c r="AL20" s="39" t="s">
        <v>1</v>
      </c>
      <c r="AM20" s="83">
        <f t="shared" si="0"/>
        <v>0.98713826366559487</v>
      </c>
      <c r="AN20" s="84">
        <f t="shared" si="1"/>
        <v>0.24293785310734464</v>
      </c>
      <c r="AO20" s="84">
        <f t="shared" si="2"/>
        <v>3.8461538461538464E-2</v>
      </c>
      <c r="AP20" s="85">
        <f t="shared" si="3"/>
        <v>1</v>
      </c>
      <c r="AR20" s="42" t="s">
        <v>1</v>
      </c>
      <c r="AS20">
        <v>2</v>
      </c>
      <c r="AT20" s="48">
        <v>0.53697749196141475</v>
      </c>
      <c r="AU20" s="48">
        <v>0.28813559322033899</v>
      </c>
      <c r="AV20" s="48">
        <v>0.76923076923076927</v>
      </c>
      <c r="AW20" s="48">
        <v>0.22222222222222221</v>
      </c>
      <c r="AX20">
        <v>3</v>
      </c>
      <c r="AY20" s="48">
        <v>0.96784565916398713</v>
      </c>
      <c r="AZ20" s="48">
        <v>0.49717514124293788</v>
      </c>
      <c r="BA20" s="48">
        <v>0.96153846153846156</v>
      </c>
      <c r="BB20" s="49">
        <v>0.22222222222222221</v>
      </c>
      <c r="BC20" s="48"/>
      <c r="BD20" s="39" t="s">
        <v>1</v>
      </c>
      <c r="BE20" s="83">
        <f t="shared" si="10"/>
        <v>1.2861736334405127E-2</v>
      </c>
      <c r="BF20" s="84">
        <f t="shared" si="11"/>
        <v>0.75706214689265539</v>
      </c>
      <c r="BG20" s="84">
        <f t="shared" si="12"/>
        <v>0.96153846153846156</v>
      </c>
      <c r="BH20" s="85">
        <f t="shared" si="13"/>
        <v>0</v>
      </c>
      <c r="BI20" s="48"/>
      <c r="BJ20" s="61" t="s">
        <v>21</v>
      </c>
      <c r="BK20" s="62">
        <f t="shared" si="14"/>
        <v>0.98713826366559487</v>
      </c>
      <c r="BL20" s="62">
        <f t="shared" si="15"/>
        <v>0</v>
      </c>
      <c r="BM20" s="62">
        <f t="shared" si="16"/>
        <v>0</v>
      </c>
      <c r="BN20" s="62">
        <f t="shared" si="17"/>
        <v>0.88888888888888884</v>
      </c>
      <c r="BO20" s="62">
        <f t="shared" si="18"/>
        <v>1</v>
      </c>
      <c r="BP20" s="62">
        <f t="shared" si="19"/>
        <v>0.5423728813559322</v>
      </c>
      <c r="BQ20" s="62">
        <f t="shared" si="20"/>
        <v>0.30769230769230771</v>
      </c>
      <c r="BR20" s="63">
        <f t="shared" si="21"/>
        <v>1</v>
      </c>
      <c r="BS20" s="48"/>
      <c r="BT20" s="48"/>
      <c r="BU20" s="61" t="s">
        <v>21</v>
      </c>
      <c r="BV20" s="62">
        <f t="shared" si="25"/>
        <v>0</v>
      </c>
      <c r="BW20" s="62">
        <f t="shared" si="26"/>
        <v>0.4576271186440678</v>
      </c>
      <c r="BX20" s="62">
        <f t="shared" si="27"/>
        <v>0.69230769230769229</v>
      </c>
      <c r="BY20" s="62">
        <f t="shared" si="28"/>
        <v>0</v>
      </c>
      <c r="BZ20" s="62">
        <f t="shared" si="29"/>
        <v>1.2861736334405127E-2</v>
      </c>
      <c r="CA20" s="62">
        <f t="shared" si="30"/>
        <v>1</v>
      </c>
      <c r="CB20" s="62">
        <f t="shared" si="31"/>
        <v>1</v>
      </c>
      <c r="CC20" s="63">
        <f t="shared" si="32"/>
        <v>0.11111111111111116</v>
      </c>
      <c r="CD20" s="13"/>
      <c r="CE20" s="105" t="s">
        <v>16</v>
      </c>
      <c r="CF20" s="110">
        <f t="shared" si="35"/>
        <v>0.43842364532019712</v>
      </c>
      <c r="CG20" s="13">
        <f t="shared" si="36"/>
        <v>0.6724137931034484</v>
      </c>
      <c r="CH20" s="13">
        <f t="shared" si="37"/>
        <v>9.3596059113300503E-2</v>
      </c>
      <c r="CI20" s="13">
        <f t="shared" si="38"/>
        <v>0.32758620689655171</v>
      </c>
      <c r="CJ20" s="13">
        <f t="shared" si="39"/>
        <v>0.14912280701754385</v>
      </c>
      <c r="CK20" s="13">
        <f t="shared" si="40"/>
        <v>0.37280701754385964</v>
      </c>
      <c r="CL20" s="13">
        <f t="shared" si="41"/>
        <v>0.40350877192982454</v>
      </c>
      <c r="CM20" s="102">
        <f t="shared" si="42"/>
        <v>0.6271929824561403</v>
      </c>
      <c r="CO20" s="4" t="s">
        <v>17</v>
      </c>
      <c r="CP20" s="13">
        <f t="shared" si="34"/>
        <v>1.2679346012679343E-2</v>
      </c>
      <c r="CQ20" s="13">
        <f t="shared" si="33"/>
        <v>6.1461461461461454E-2</v>
      </c>
      <c r="CR20" s="13">
        <f t="shared" si="33"/>
        <v>8.8977866755644386E-4</v>
      </c>
      <c r="CS20" s="13">
        <f t="shared" si="33"/>
        <v>1.619397174952731E-2</v>
      </c>
      <c r="CT20" s="13">
        <f t="shared" si="33"/>
        <v>1.6383211109377443E-2</v>
      </c>
      <c r="CU20" s="13">
        <f t="shared" si="33"/>
        <v>0.13231393353097209</v>
      </c>
      <c r="CV20" s="13">
        <f t="shared" si="33"/>
        <v>0.12898528111509855</v>
      </c>
      <c r="CW20" s="13">
        <f t="shared" si="33"/>
        <v>0.28834451552504292</v>
      </c>
      <c r="DH20" s="13"/>
      <c r="DI20" s="13"/>
    </row>
    <row r="21" spans="1:119" ht="16.5" thickBot="1" x14ac:dyDescent="0.3">
      <c r="A21" s="42" t="s">
        <v>108</v>
      </c>
      <c r="B21" s="4" t="s">
        <v>2</v>
      </c>
      <c r="C21" s="5">
        <v>0</v>
      </c>
      <c r="D21" s="5">
        <v>22</v>
      </c>
      <c r="E21" s="5">
        <v>3</v>
      </c>
      <c r="F21" s="26">
        <v>0</v>
      </c>
      <c r="H21" s="42" t="s">
        <v>2</v>
      </c>
      <c r="I21" s="4" t="s">
        <v>109</v>
      </c>
      <c r="J21" s="5">
        <v>1</v>
      </c>
      <c r="K21" s="5">
        <v>27</v>
      </c>
      <c r="L21" s="5">
        <v>7</v>
      </c>
      <c r="M21" s="5">
        <v>0</v>
      </c>
      <c r="N21" s="4" t="s">
        <v>110</v>
      </c>
      <c r="O21" s="5">
        <v>1</v>
      </c>
      <c r="P21" s="5">
        <v>29</v>
      </c>
      <c r="Q21" s="5">
        <v>9</v>
      </c>
      <c r="R21" s="26">
        <v>0</v>
      </c>
      <c r="T21" s="18" t="s">
        <v>69</v>
      </c>
      <c r="AD21" s="19"/>
      <c r="AL21" s="42" t="s">
        <v>2</v>
      </c>
      <c r="AM21" s="46">
        <f t="shared" si="0"/>
        <v>1</v>
      </c>
      <c r="AN21" s="47">
        <f t="shared" si="1"/>
        <v>0.12429378531073447</v>
      </c>
      <c r="AO21" s="47">
        <f t="shared" si="2"/>
        <v>0.11538461538461539</v>
      </c>
      <c r="AP21" s="86">
        <f t="shared" si="3"/>
        <v>1</v>
      </c>
      <c r="AR21" s="42" t="s">
        <v>2</v>
      </c>
      <c r="AS21">
        <v>2</v>
      </c>
      <c r="AT21" s="48">
        <v>0.99678456591639875</v>
      </c>
      <c r="AU21" s="48">
        <v>0.15254237288135594</v>
      </c>
      <c r="AV21" s="48">
        <v>0.73076923076923073</v>
      </c>
      <c r="AW21" s="48">
        <v>0</v>
      </c>
      <c r="AX21">
        <v>3</v>
      </c>
      <c r="AY21" s="48">
        <v>0.99678456591639875</v>
      </c>
      <c r="AZ21" s="48">
        <v>0.16384180790960451</v>
      </c>
      <c r="BA21" s="48">
        <v>0.65384615384615385</v>
      </c>
      <c r="BB21" s="49">
        <v>0</v>
      </c>
      <c r="BC21" s="48"/>
      <c r="BD21" s="42" t="s">
        <v>2</v>
      </c>
      <c r="BE21" s="46">
        <f t="shared" si="10"/>
        <v>0</v>
      </c>
      <c r="BF21" s="47">
        <f t="shared" si="11"/>
        <v>0.87570621468926557</v>
      </c>
      <c r="BG21" s="47">
        <f t="shared" si="12"/>
        <v>0.88461538461538458</v>
      </c>
      <c r="BH21" s="86">
        <f t="shared" si="13"/>
        <v>0</v>
      </c>
      <c r="BI21" s="48"/>
      <c r="BJ21" s="129" t="s">
        <v>40</v>
      </c>
      <c r="BK21" s="131" t="s">
        <v>111</v>
      </c>
      <c r="BL21" s="131"/>
      <c r="BM21" s="131"/>
      <c r="BN21" s="131"/>
      <c r="BO21" s="131" t="s">
        <v>112</v>
      </c>
      <c r="BP21" s="131"/>
      <c r="BQ21" s="131"/>
      <c r="BR21" s="132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105" t="s">
        <v>17</v>
      </c>
      <c r="CF21" s="110">
        <f t="shared" si="35"/>
        <v>0.85585585585585566</v>
      </c>
      <c r="CG21" s="13">
        <f t="shared" si="36"/>
        <v>0.92192192192192179</v>
      </c>
      <c r="CH21" s="13">
        <f t="shared" si="37"/>
        <v>1.2012012012011993E-2</v>
      </c>
      <c r="CI21" s="13">
        <f t="shared" si="38"/>
        <v>7.8078078078078109E-2</v>
      </c>
      <c r="CJ21" s="13">
        <f t="shared" si="39"/>
        <v>4.0723981900452497E-2</v>
      </c>
      <c r="CK21" s="13">
        <f t="shared" si="40"/>
        <v>0.23981900452488691</v>
      </c>
      <c r="CL21" s="13">
        <f t="shared" si="41"/>
        <v>0.56108597285067874</v>
      </c>
      <c r="CM21" s="102">
        <f t="shared" si="42"/>
        <v>0.7601809954751132</v>
      </c>
      <c r="CO21" s="4" t="s">
        <v>21</v>
      </c>
      <c r="CP21" s="13">
        <f t="shared" si="34"/>
        <v>1.4438565549676662E-2</v>
      </c>
      <c r="CQ21" s="13">
        <f t="shared" si="33"/>
        <v>6.5820105820105834E-2</v>
      </c>
      <c r="CR21" s="13">
        <f t="shared" si="33"/>
        <v>0</v>
      </c>
      <c r="CS21" s="13">
        <f t="shared" si="33"/>
        <v>2.6337448559670749E-3</v>
      </c>
      <c r="CT21" s="13">
        <f t="shared" si="33"/>
        <v>0</v>
      </c>
      <c r="CU21" s="13">
        <f t="shared" si="33"/>
        <v>0.19401288366805611</v>
      </c>
      <c r="CV21" s="13">
        <f t="shared" si="33"/>
        <v>6.8207654414550969E-2</v>
      </c>
      <c r="CW21" s="13">
        <f>CM22*CM$4</f>
        <v>0.24592648730579764</v>
      </c>
      <c r="DF21" s="13">
        <f>ABS(MIN(DF4:DF19))</f>
        <v>0.30597439210244587</v>
      </c>
      <c r="DG21" s="13">
        <f>MAX(DG4:DG19)</f>
        <v>0.37133492110263761</v>
      </c>
    </row>
    <row r="22" spans="1:119" ht="15.75" thickBot="1" x14ac:dyDescent="0.3">
      <c r="A22" s="42" t="s">
        <v>108</v>
      </c>
      <c r="B22" s="4" t="s">
        <v>4</v>
      </c>
      <c r="C22" s="5">
        <v>15</v>
      </c>
      <c r="D22" s="5">
        <v>9</v>
      </c>
      <c r="E22" s="5">
        <v>0</v>
      </c>
      <c r="F22" s="26">
        <v>1</v>
      </c>
      <c r="H22" s="42" t="s">
        <v>4</v>
      </c>
      <c r="I22" s="4" t="s">
        <v>109</v>
      </c>
      <c r="J22" s="5">
        <v>34</v>
      </c>
      <c r="K22" s="5">
        <v>8</v>
      </c>
      <c r="L22" s="5">
        <v>0</v>
      </c>
      <c r="M22" s="5">
        <v>0</v>
      </c>
      <c r="N22" s="4" t="s">
        <v>110</v>
      </c>
      <c r="O22" s="5">
        <v>20</v>
      </c>
      <c r="P22" s="5">
        <v>12</v>
      </c>
      <c r="Q22" s="5">
        <v>0</v>
      </c>
      <c r="R22" s="26">
        <v>1</v>
      </c>
      <c r="T22" s="18" t="s">
        <v>36</v>
      </c>
      <c r="U22">
        <f>MIN(U4:U8)</f>
        <v>2</v>
      </c>
      <c r="V22">
        <f>MIN(V16:V19)</f>
        <v>70</v>
      </c>
      <c r="W22">
        <f>MIN(W18:W19)</f>
        <v>15</v>
      </c>
      <c r="X22">
        <f>MIN(X4:X13)</f>
        <v>0</v>
      </c>
      <c r="AD22" s="19"/>
      <c r="AL22" s="42" t="s">
        <v>4</v>
      </c>
      <c r="AM22" s="46">
        <f t="shared" si="0"/>
        <v>0.95176848874598075</v>
      </c>
      <c r="AN22" s="47">
        <f t="shared" si="1"/>
        <v>5.0847457627118647E-2</v>
      </c>
      <c r="AO22" s="47">
        <f t="shared" si="2"/>
        <v>0</v>
      </c>
      <c r="AP22" s="86">
        <f t="shared" si="3"/>
        <v>0.88888888888888884</v>
      </c>
      <c r="AR22" s="42" t="s">
        <v>4</v>
      </c>
      <c r="AS22">
        <v>2</v>
      </c>
      <c r="AT22" s="48">
        <v>0.89067524115755625</v>
      </c>
      <c r="AU22" s="48">
        <v>4.519774011299435E-2</v>
      </c>
      <c r="AV22" s="48">
        <v>1</v>
      </c>
      <c r="AW22" s="48">
        <v>0</v>
      </c>
      <c r="AX22">
        <v>3</v>
      </c>
      <c r="AY22" s="48">
        <v>0.93569131832797425</v>
      </c>
      <c r="AZ22" s="48">
        <v>6.7796610169491525E-2</v>
      </c>
      <c r="BA22" s="48">
        <v>1</v>
      </c>
      <c r="BB22" s="49">
        <v>0.1111111111111111</v>
      </c>
      <c r="BC22" s="48"/>
      <c r="BD22" s="42" t="s">
        <v>4</v>
      </c>
      <c r="BE22" s="46">
        <f t="shared" si="10"/>
        <v>4.8231511254019255E-2</v>
      </c>
      <c r="BF22" s="47">
        <f t="shared" si="11"/>
        <v>0.94915254237288138</v>
      </c>
      <c r="BG22" s="47">
        <f t="shared" si="12"/>
        <v>1</v>
      </c>
      <c r="BH22" s="86">
        <f t="shared" si="13"/>
        <v>0.11111111111111116</v>
      </c>
      <c r="BI22" s="48"/>
      <c r="BJ22" s="130"/>
      <c r="BK22" s="50" t="s">
        <v>64</v>
      </c>
      <c r="BL22" s="50" t="s">
        <v>65</v>
      </c>
      <c r="BM22" s="50" t="s">
        <v>66</v>
      </c>
      <c r="BN22" s="50" t="s">
        <v>67</v>
      </c>
      <c r="BO22" s="50" t="s">
        <v>64</v>
      </c>
      <c r="BP22" s="50" t="s">
        <v>65</v>
      </c>
      <c r="BQ22" s="50" t="s">
        <v>66</v>
      </c>
      <c r="BR22" s="51" t="s">
        <v>67</v>
      </c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105" t="s">
        <v>21</v>
      </c>
      <c r="CF22" s="110">
        <f t="shared" si="35"/>
        <v>0.97460317460317469</v>
      </c>
      <c r="CG22" s="13">
        <f t="shared" si="36"/>
        <v>0.98730158730158746</v>
      </c>
      <c r="CH22" s="13">
        <f t="shared" si="37"/>
        <v>0</v>
      </c>
      <c r="CI22" s="13">
        <f t="shared" si="38"/>
        <v>1.2698412698412683E-2</v>
      </c>
      <c r="CJ22" s="13">
        <f>BL38</f>
        <v>0</v>
      </c>
      <c r="CK22" s="13">
        <f t="shared" ref="CK22" si="49">BP38</f>
        <v>0.35164835164835168</v>
      </c>
      <c r="CL22" s="13">
        <f t="shared" ref="CL22" si="50">BL56</f>
        <v>0.2967032967032967</v>
      </c>
      <c r="CM22" s="102">
        <f t="shared" ref="CM22" si="51">BP56</f>
        <v>0.64835164835164838</v>
      </c>
      <c r="CO22" s="41"/>
      <c r="CP22" s="58" t="s">
        <v>113</v>
      </c>
      <c r="CQ22" s="58" t="s">
        <v>114</v>
      </c>
      <c r="CR22" s="58" t="s">
        <v>113</v>
      </c>
      <c r="CS22" s="58" t="s">
        <v>114</v>
      </c>
      <c r="CT22" s="58" t="s">
        <v>115</v>
      </c>
      <c r="CU22" s="58" t="s">
        <v>116</v>
      </c>
      <c r="CV22" s="58" t="s">
        <v>115</v>
      </c>
      <c r="CW22" s="58" t="s">
        <v>116</v>
      </c>
    </row>
    <row r="23" spans="1:119" ht="15.75" thickBot="1" x14ac:dyDescent="0.3">
      <c r="A23" s="42" t="s">
        <v>108</v>
      </c>
      <c r="B23" s="4" t="s">
        <v>5</v>
      </c>
      <c r="C23" s="5">
        <v>5</v>
      </c>
      <c r="D23" s="5">
        <v>29</v>
      </c>
      <c r="E23" s="5">
        <v>0</v>
      </c>
      <c r="F23" s="26">
        <v>0</v>
      </c>
      <c r="H23" s="42" t="s">
        <v>5</v>
      </c>
      <c r="I23" s="4" t="s">
        <v>109</v>
      </c>
      <c r="J23" s="5">
        <v>27</v>
      </c>
      <c r="K23" s="5">
        <v>34</v>
      </c>
      <c r="L23" s="5">
        <v>2</v>
      </c>
      <c r="M23" s="5">
        <v>1</v>
      </c>
      <c r="N23" s="4" t="s">
        <v>110</v>
      </c>
      <c r="O23" s="5">
        <v>34</v>
      </c>
      <c r="P23" s="5">
        <v>54</v>
      </c>
      <c r="Q23" s="5">
        <v>1</v>
      </c>
      <c r="R23" s="26">
        <v>1</v>
      </c>
      <c r="T23" s="18" t="s">
        <v>107</v>
      </c>
      <c r="U23">
        <f>MIN(U9:U14)</f>
        <v>10</v>
      </c>
      <c r="V23">
        <f>MIN(V9:V15)</f>
        <v>40</v>
      </c>
      <c r="W23">
        <f>MIN(W16:W17)</f>
        <v>4</v>
      </c>
      <c r="X23">
        <f>MIN(X14:X15)</f>
        <v>2</v>
      </c>
      <c r="AD23" s="19"/>
      <c r="AL23" s="42" t="s">
        <v>5</v>
      </c>
      <c r="AM23" s="46">
        <f t="shared" si="0"/>
        <v>0.98392282958199362</v>
      </c>
      <c r="AN23" s="47">
        <f t="shared" si="1"/>
        <v>0.16384180790960451</v>
      </c>
      <c r="AO23" s="47">
        <f t="shared" si="2"/>
        <v>0</v>
      </c>
      <c r="AP23" s="86">
        <f t="shared" si="3"/>
        <v>1</v>
      </c>
      <c r="AR23" s="42" t="s">
        <v>5</v>
      </c>
      <c r="AS23">
        <v>2</v>
      </c>
      <c r="AT23" s="48">
        <v>0.91318327974276525</v>
      </c>
      <c r="AU23" s="48">
        <v>0.19209039548022599</v>
      </c>
      <c r="AV23" s="48">
        <v>0.92307692307692313</v>
      </c>
      <c r="AW23" s="48">
        <v>0.1111111111111111</v>
      </c>
      <c r="AX23">
        <v>3</v>
      </c>
      <c r="AY23" s="48">
        <v>0.89067524115755625</v>
      </c>
      <c r="AZ23" s="48">
        <v>0.30508474576271188</v>
      </c>
      <c r="BA23" s="48">
        <v>0.96153846153846156</v>
      </c>
      <c r="BB23" s="49">
        <v>0.1111111111111111</v>
      </c>
      <c r="BC23" s="48"/>
      <c r="BD23" s="42" t="s">
        <v>5</v>
      </c>
      <c r="BE23" s="46">
        <f t="shared" si="10"/>
        <v>1.6077170418006381E-2</v>
      </c>
      <c r="BF23" s="47">
        <f t="shared" si="11"/>
        <v>0.83615819209039555</v>
      </c>
      <c r="BG23" s="47">
        <f t="shared" si="12"/>
        <v>1</v>
      </c>
      <c r="BH23" s="86">
        <f t="shared" si="13"/>
        <v>0</v>
      </c>
      <c r="BI23" s="48"/>
      <c r="BJ23" s="42" t="s">
        <v>1</v>
      </c>
      <c r="BK23" s="13">
        <f>BK5/(BO5+BZ5)</f>
        <v>0.37028824833702884</v>
      </c>
      <c r="BL23" s="13">
        <f t="shared" ref="BL23:BN23" si="52">BL5/(BP5+CA5)</f>
        <v>0.12698412698412698</v>
      </c>
      <c r="BM23" s="13">
        <f t="shared" si="52"/>
        <v>3.2258064516129031E-2</v>
      </c>
      <c r="BN23" s="13">
        <f t="shared" si="52"/>
        <v>0.49999999999999989</v>
      </c>
      <c r="BO23" s="13">
        <f>BO5/(BO5+BZ5)</f>
        <v>0.68070953436807102</v>
      </c>
      <c r="BP23" s="13">
        <f t="shared" ref="BP23:BR23" si="53">BP5/(BP5+CA5)</f>
        <v>0.42460317460317459</v>
      </c>
      <c r="BQ23" s="13">
        <f t="shared" si="53"/>
        <v>0.19354838709677422</v>
      </c>
      <c r="BR23" s="13">
        <f t="shared" si="53"/>
        <v>0.74999999999999989</v>
      </c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1"/>
      <c r="CF23" s="140" t="s">
        <v>72</v>
      </c>
      <c r="CG23" s="123"/>
      <c r="CH23" s="123" t="s">
        <v>73</v>
      </c>
      <c r="CI23" s="123"/>
      <c r="CJ23" s="123" t="s">
        <v>72</v>
      </c>
      <c r="CK23" s="123"/>
      <c r="CL23" s="123" t="s">
        <v>73</v>
      </c>
      <c r="CM23" s="133"/>
      <c r="CO23" s="4" t="s">
        <v>1</v>
      </c>
      <c r="CP23" s="13">
        <f t="shared" ref="CP23:CW38" si="54">CF27*CF$24</f>
        <v>1.4662756598240468E-2</v>
      </c>
      <c r="CQ23" s="13">
        <f t="shared" si="54"/>
        <v>0.15249266862170088</v>
      </c>
      <c r="CR23" s="13">
        <f t="shared" si="54"/>
        <v>7.8201368523949169E-2</v>
      </c>
      <c r="CS23" s="13">
        <f t="shared" si="54"/>
        <v>0.19550342130987294</v>
      </c>
      <c r="CT23" s="13">
        <f t="shared" si="54"/>
        <v>0</v>
      </c>
      <c r="CU23" s="13">
        <f t="shared" si="54"/>
        <v>6.2499999999999986E-2</v>
      </c>
      <c r="CV23" s="13">
        <f t="shared" si="54"/>
        <v>0</v>
      </c>
      <c r="CW23" s="13">
        <f t="shared" si="54"/>
        <v>0.10416666666666667</v>
      </c>
    </row>
    <row r="24" spans="1:119" ht="15.75" thickBot="1" x14ac:dyDescent="0.3">
      <c r="A24" s="42" t="s">
        <v>108</v>
      </c>
      <c r="B24" s="4" t="s">
        <v>6</v>
      </c>
      <c r="C24" s="5">
        <v>57</v>
      </c>
      <c r="D24" s="5">
        <v>112</v>
      </c>
      <c r="E24" s="5">
        <v>2</v>
      </c>
      <c r="F24" s="26">
        <v>2</v>
      </c>
      <c r="H24" s="42" t="s">
        <v>6</v>
      </c>
      <c r="I24" s="4" t="s">
        <v>109</v>
      </c>
      <c r="J24" s="5">
        <v>46</v>
      </c>
      <c r="K24" s="5">
        <v>110</v>
      </c>
      <c r="L24" s="5">
        <v>0</v>
      </c>
      <c r="M24" s="5">
        <v>2</v>
      </c>
      <c r="N24" s="4" t="s">
        <v>110</v>
      </c>
      <c r="O24" s="5">
        <v>34</v>
      </c>
      <c r="P24" s="5">
        <v>122</v>
      </c>
      <c r="Q24" s="5">
        <v>1</v>
      </c>
      <c r="R24" s="26">
        <v>1</v>
      </c>
      <c r="T24" s="18" t="s">
        <v>37</v>
      </c>
      <c r="U24">
        <f>MIN(U15:U19)</f>
        <v>51</v>
      </c>
      <c r="V24">
        <f>MIN(V4:V8)</f>
        <v>14</v>
      </c>
      <c r="W24">
        <f>MIN(W4:W15)</f>
        <v>0</v>
      </c>
      <c r="X24">
        <f>MIN(X16:X19)</f>
        <v>6</v>
      </c>
      <c r="AD24" s="19"/>
      <c r="AL24" s="42" t="s">
        <v>6</v>
      </c>
      <c r="AM24" s="46">
        <f t="shared" si="0"/>
        <v>0.81672025723472674</v>
      </c>
      <c r="AN24" s="47">
        <f t="shared" si="1"/>
        <v>0.63276836158192096</v>
      </c>
      <c r="AO24" s="47">
        <f t="shared" si="2"/>
        <v>7.6923076923076927E-2</v>
      </c>
      <c r="AP24" s="86">
        <f t="shared" si="3"/>
        <v>0.77777777777777779</v>
      </c>
      <c r="AR24" s="42" t="s">
        <v>6</v>
      </c>
      <c r="AS24">
        <v>2</v>
      </c>
      <c r="AT24" s="48">
        <v>0.85209003215434087</v>
      </c>
      <c r="AU24" s="48">
        <v>0.62146892655367236</v>
      </c>
      <c r="AV24" s="48">
        <v>1</v>
      </c>
      <c r="AW24" s="48">
        <v>0.22222222222222221</v>
      </c>
      <c r="AX24">
        <v>3</v>
      </c>
      <c r="AY24" s="48">
        <v>0.89067524115755625</v>
      </c>
      <c r="AZ24" s="48">
        <v>0.68926553672316382</v>
      </c>
      <c r="BA24" s="48">
        <v>0.96153846153846156</v>
      </c>
      <c r="BB24" s="49">
        <v>0.1111111111111111</v>
      </c>
      <c r="BC24" s="48"/>
      <c r="BD24" s="42" t="s">
        <v>6</v>
      </c>
      <c r="BE24" s="46">
        <f t="shared" si="10"/>
        <v>0.18327974276527326</v>
      </c>
      <c r="BF24" s="47">
        <f t="shared" si="11"/>
        <v>0.36723163841807904</v>
      </c>
      <c r="BG24" s="47">
        <f t="shared" si="12"/>
        <v>0.92307692307692313</v>
      </c>
      <c r="BH24" s="86">
        <f t="shared" si="13"/>
        <v>0.22222222222222221</v>
      </c>
      <c r="BI24" s="48"/>
      <c r="BJ24" s="42" t="s">
        <v>2</v>
      </c>
      <c r="BK24" s="13">
        <f t="shared" ref="BK24:BK38" si="55">BK6/(BO6+BZ6)</f>
        <v>0.9872204472843451</v>
      </c>
      <c r="BL24" s="13">
        <f t="shared" ref="BL24:BL38" si="56">BL6/(BP6+CA6)</f>
        <v>7.3578595317725759E-2</v>
      </c>
      <c r="BM24" s="13">
        <f t="shared" ref="BM24:BM38" si="57">BM6/(BQ6+CB6)</f>
        <v>0.04</v>
      </c>
      <c r="BN24" s="13">
        <f t="shared" ref="BN24:BN38" si="58">BN6/(BR6+CC6)</f>
        <v>0.79999999999999993</v>
      </c>
      <c r="BO24" s="13">
        <f t="shared" ref="BO24:BO38" si="59">BO6/(BO6+BZ6)</f>
        <v>0.99361022364217255</v>
      </c>
      <c r="BP24" s="13">
        <f t="shared" ref="BP24:BP38" si="60">BP6/(BP6+CA6)</f>
        <v>0.48160535117056857</v>
      </c>
      <c r="BQ24" s="13">
        <f t="shared" ref="BQ24:BQ38" si="61">BQ6/(BQ6+CB6)</f>
        <v>0.52</v>
      </c>
      <c r="BR24" s="13">
        <f t="shared" ref="BR24:BR38" si="62">BR6/(BR6+CC6)</f>
        <v>0.89999999999999991</v>
      </c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33"/>
      <c r="CF24" s="117">
        <f>W35</f>
        <v>0.45454545454545453</v>
      </c>
      <c r="CG24" s="54">
        <f>W36</f>
        <v>0.78787878787878785</v>
      </c>
      <c r="CH24" s="54">
        <f>W37</f>
        <v>0.12121212121212122</v>
      </c>
      <c r="CI24" s="54">
        <f>W38</f>
        <v>0.24242424242424243</v>
      </c>
      <c r="CJ24" s="54">
        <f>X35</f>
        <v>0</v>
      </c>
      <c r="CK24" s="54">
        <f>X36</f>
        <v>8.3333333333333329E-2</v>
      </c>
      <c r="CL24" s="54">
        <f>X37</f>
        <v>0.16666666666666666</v>
      </c>
      <c r="CM24" s="118">
        <f>X38</f>
        <v>0.41666666666666669</v>
      </c>
      <c r="CO24" s="4" t="s">
        <v>2</v>
      </c>
      <c r="CP24" s="13">
        <f t="shared" si="54"/>
        <v>1.8181818181818181E-2</v>
      </c>
      <c r="CQ24" s="13">
        <f t="shared" si="54"/>
        <v>0.40969696969696967</v>
      </c>
      <c r="CR24" s="13">
        <f t="shared" si="54"/>
        <v>0</v>
      </c>
      <c r="CS24" s="13">
        <f t="shared" si="54"/>
        <v>0.11636363636363638</v>
      </c>
      <c r="CT24" s="13">
        <f t="shared" si="54"/>
        <v>0</v>
      </c>
      <c r="CU24" s="13">
        <f t="shared" si="54"/>
        <v>7.4999999999999983E-2</v>
      </c>
      <c r="CV24" s="13">
        <f t="shared" si="54"/>
        <v>0</v>
      </c>
      <c r="CW24" s="13">
        <f t="shared" si="54"/>
        <v>4.1666666666666685E-2</v>
      </c>
    </row>
    <row r="25" spans="1:119" ht="15.75" thickBot="1" x14ac:dyDescent="0.3">
      <c r="A25" s="42" t="s">
        <v>108</v>
      </c>
      <c r="B25" s="4" t="s">
        <v>8</v>
      </c>
      <c r="C25" s="5">
        <v>10</v>
      </c>
      <c r="D25" s="5">
        <v>43</v>
      </c>
      <c r="E25" s="5">
        <v>0</v>
      </c>
      <c r="F25" s="26">
        <v>2</v>
      </c>
      <c r="H25" s="42" t="s">
        <v>8</v>
      </c>
      <c r="I25" s="4" t="s">
        <v>109</v>
      </c>
      <c r="J25" s="5">
        <v>35</v>
      </c>
      <c r="K25" s="5">
        <v>47</v>
      </c>
      <c r="L25" s="5">
        <v>1</v>
      </c>
      <c r="M25" s="5">
        <v>1</v>
      </c>
      <c r="N25" s="4" t="s">
        <v>110</v>
      </c>
      <c r="O25" s="5">
        <v>23</v>
      </c>
      <c r="P25" s="5">
        <v>61</v>
      </c>
      <c r="Q25" s="5">
        <v>1</v>
      </c>
      <c r="R25" s="26">
        <v>1</v>
      </c>
      <c r="T25" s="18"/>
      <c r="AD25" s="19"/>
      <c r="AL25" s="42" t="s">
        <v>8</v>
      </c>
      <c r="AM25" s="46">
        <f t="shared" si="0"/>
        <v>0.96784565916398713</v>
      </c>
      <c r="AN25" s="47">
        <f t="shared" si="1"/>
        <v>0.24293785310734464</v>
      </c>
      <c r="AO25" s="47">
        <f t="shared" si="2"/>
        <v>0</v>
      </c>
      <c r="AP25" s="86">
        <f t="shared" si="3"/>
        <v>0.77777777777777779</v>
      </c>
      <c r="AR25" s="42" t="s">
        <v>8</v>
      </c>
      <c r="AS25">
        <v>2</v>
      </c>
      <c r="AT25" s="48">
        <v>0.887459807073955</v>
      </c>
      <c r="AU25" s="48">
        <v>0.2655367231638418</v>
      </c>
      <c r="AV25" s="48">
        <v>0.96153846153846156</v>
      </c>
      <c r="AW25" s="48">
        <v>0.1111111111111111</v>
      </c>
      <c r="AX25">
        <v>3</v>
      </c>
      <c r="AY25" s="48">
        <v>0.92604501607717038</v>
      </c>
      <c r="AZ25" s="48">
        <v>0.34463276836158191</v>
      </c>
      <c r="BA25" s="48">
        <v>0.96153846153846156</v>
      </c>
      <c r="BB25" s="49">
        <v>0.1111111111111111</v>
      </c>
      <c r="BC25" s="48"/>
      <c r="BD25" s="42" t="s">
        <v>8</v>
      </c>
      <c r="BE25" s="46">
        <f t="shared" si="10"/>
        <v>3.2154340836012874E-2</v>
      </c>
      <c r="BF25" s="47">
        <f t="shared" si="11"/>
        <v>0.75706214689265539</v>
      </c>
      <c r="BG25" s="47">
        <f t="shared" si="12"/>
        <v>1</v>
      </c>
      <c r="BH25" s="86">
        <f t="shared" si="13"/>
        <v>0.22222222222222221</v>
      </c>
      <c r="BI25" s="48"/>
      <c r="BJ25" s="42" t="s">
        <v>4</v>
      </c>
      <c r="BK25" s="13">
        <f t="shared" si="55"/>
        <v>0.62299465240641705</v>
      </c>
      <c r="BL25" s="13">
        <f t="shared" si="56"/>
        <v>4.1666666666666664E-2</v>
      </c>
      <c r="BM25" s="13">
        <f t="shared" si="57"/>
        <v>0</v>
      </c>
      <c r="BN25" s="13">
        <f t="shared" si="58"/>
        <v>0.63636363636363635</v>
      </c>
      <c r="BO25" s="13">
        <f t="shared" si="59"/>
        <v>0.79144385026737973</v>
      </c>
      <c r="BP25" s="13">
        <f t="shared" si="60"/>
        <v>0.11979166666666666</v>
      </c>
      <c r="BQ25" s="13">
        <f t="shared" si="61"/>
        <v>7.1428571428571438E-2</v>
      </c>
      <c r="BR25" s="13">
        <f t="shared" si="62"/>
        <v>0.81818181818181812</v>
      </c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33"/>
      <c r="CF25" s="134" t="s">
        <v>40</v>
      </c>
      <c r="CG25" s="128"/>
      <c r="CH25" s="127" t="s">
        <v>41</v>
      </c>
      <c r="CI25" s="128"/>
      <c r="CJ25" s="127" t="s">
        <v>40</v>
      </c>
      <c r="CK25" s="128"/>
      <c r="CL25" s="127" t="s">
        <v>41</v>
      </c>
      <c r="CM25" s="135"/>
      <c r="CO25" s="4" t="s">
        <v>4</v>
      </c>
      <c r="CP25" s="13">
        <f t="shared" si="54"/>
        <v>0</v>
      </c>
      <c r="CQ25" s="13">
        <f t="shared" si="54"/>
        <v>5.627705627705628E-2</v>
      </c>
      <c r="CR25" s="13">
        <f t="shared" si="54"/>
        <v>0.1038961038961039</v>
      </c>
      <c r="CS25" s="13">
        <f t="shared" si="54"/>
        <v>0.22510822510822512</v>
      </c>
      <c r="CT25" s="13">
        <f t="shared" si="54"/>
        <v>0</v>
      </c>
      <c r="CU25" s="13">
        <f t="shared" si="54"/>
        <v>6.8181818181818177E-2</v>
      </c>
      <c r="CV25" s="13">
        <f t="shared" si="54"/>
        <v>0</v>
      </c>
      <c r="CW25" s="13">
        <f t="shared" si="54"/>
        <v>7.5757575757575746E-2</v>
      </c>
    </row>
    <row r="26" spans="1:119" ht="15.75" thickBot="1" x14ac:dyDescent="0.3">
      <c r="A26" s="42" t="s">
        <v>108</v>
      </c>
      <c r="B26" s="4" t="s">
        <v>9</v>
      </c>
      <c r="C26" s="5">
        <v>22</v>
      </c>
      <c r="D26" s="5">
        <v>36</v>
      </c>
      <c r="E26" s="5">
        <v>1</v>
      </c>
      <c r="F26" s="26">
        <v>2</v>
      </c>
      <c r="H26" s="42" t="s">
        <v>9</v>
      </c>
      <c r="I26" s="4" t="s">
        <v>109</v>
      </c>
      <c r="J26" s="5">
        <v>26</v>
      </c>
      <c r="K26" s="5">
        <v>25</v>
      </c>
      <c r="L26" s="5">
        <v>3</v>
      </c>
      <c r="M26" s="5">
        <v>1</v>
      </c>
      <c r="N26" s="4" t="s">
        <v>110</v>
      </c>
      <c r="O26" s="5">
        <v>29</v>
      </c>
      <c r="P26" s="5">
        <v>40</v>
      </c>
      <c r="Q26" s="5">
        <v>0</v>
      </c>
      <c r="R26" s="26">
        <v>0</v>
      </c>
      <c r="T26" s="18" t="s">
        <v>70</v>
      </c>
      <c r="AD26" s="19"/>
      <c r="AL26" s="42" t="s">
        <v>9</v>
      </c>
      <c r="AM26" s="46">
        <f t="shared" si="0"/>
        <v>0.92926045016077174</v>
      </c>
      <c r="AN26" s="47">
        <f t="shared" si="1"/>
        <v>0.20338983050847459</v>
      </c>
      <c r="AO26" s="47">
        <f t="shared" si="2"/>
        <v>3.8461538461538464E-2</v>
      </c>
      <c r="AP26" s="86">
        <f t="shared" si="3"/>
        <v>0.77777777777777779</v>
      </c>
      <c r="AR26" s="42" t="s">
        <v>9</v>
      </c>
      <c r="AS26">
        <v>2</v>
      </c>
      <c r="AT26" s="48">
        <v>0.91639871382636651</v>
      </c>
      <c r="AU26" s="48">
        <v>0.14124293785310735</v>
      </c>
      <c r="AV26" s="48">
        <v>0.88461538461538458</v>
      </c>
      <c r="AW26" s="48">
        <v>0.1111111111111111</v>
      </c>
      <c r="AX26">
        <v>3</v>
      </c>
      <c r="AY26" s="48">
        <v>0.90675241157556274</v>
      </c>
      <c r="AZ26" s="48">
        <v>0.22598870056497175</v>
      </c>
      <c r="BA26" s="48">
        <v>1</v>
      </c>
      <c r="BB26" s="49">
        <v>0</v>
      </c>
      <c r="BC26" s="48"/>
      <c r="BD26" s="42" t="s">
        <v>9</v>
      </c>
      <c r="BE26" s="46">
        <f t="shared" si="10"/>
        <v>7.0739549839228255E-2</v>
      </c>
      <c r="BF26" s="47">
        <f t="shared" si="11"/>
        <v>0.79661016949152541</v>
      </c>
      <c r="BG26" s="47">
        <f t="shared" si="12"/>
        <v>0.96153846153846156</v>
      </c>
      <c r="BH26" s="86">
        <f t="shared" si="13"/>
        <v>0.22222222222222221</v>
      </c>
      <c r="BI26" s="48"/>
      <c r="BJ26" s="42" t="s">
        <v>5</v>
      </c>
      <c r="BK26" s="13">
        <f t="shared" si="55"/>
        <v>0.81470588235294106</v>
      </c>
      <c r="BL26" s="13">
        <f t="shared" si="56"/>
        <v>0.1</v>
      </c>
      <c r="BM26" s="13">
        <f t="shared" si="57"/>
        <v>0</v>
      </c>
      <c r="BN26" s="13">
        <f t="shared" si="58"/>
        <v>0.63636363636363635</v>
      </c>
      <c r="BO26" s="13">
        <f t="shared" si="59"/>
        <v>0.89999999999999991</v>
      </c>
      <c r="BP26" s="13">
        <f t="shared" si="60"/>
        <v>0.36250000000000004</v>
      </c>
      <c r="BQ26" s="13">
        <f t="shared" si="61"/>
        <v>7.1428571428571438E-2</v>
      </c>
      <c r="BR26" s="13">
        <f t="shared" si="62"/>
        <v>0.81818181818181812</v>
      </c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1"/>
      <c r="CF26" s="111" t="s">
        <v>113</v>
      </c>
      <c r="CG26" s="58" t="s">
        <v>114</v>
      </c>
      <c r="CH26" s="58" t="s">
        <v>113</v>
      </c>
      <c r="CI26" s="58" t="s">
        <v>114</v>
      </c>
      <c r="CJ26" s="58" t="s">
        <v>115</v>
      </c>
      <c r="CK26" s="58" t="s">
        <v>116</v>
      </c>
      <c r="CL26" s="58" t="s">
        <v>115</v>
      </c>
      <c r="CM26" s="112" t="s">
        <v>116</v>
      </c>
      <c r="CO26" s="4" t="s">
        <v>5</v>
      </c>
      <c r="CP26" s="13">
        <f t="shared" si="54"/>
        <v>0</v>
      </c>
      <c r="CQ26" s="13">
        <f t="shared" si="54"/>
        <v>5.627705627705628E-2</v>
      </c>
      <c r="CR26" s="13">
        <f t="shared" si="54"/>
        <v>0.1038961038961039</v>
      </c>
      <c r="CS26" s="13">
        <f t="shared" si="54"/>
        <v>0.22510822510822512</v>
      </c>
      <c r="CT26" s="13">
        <f t="shared" si="54"/>
        <v>0</v>
      </c>
      <c r="CU26" s="13">
        <f t="shared" si="54"/>
        <v>6.8181818181818177E-2</v>
      </c>
      <c r="CV26" s="13">
        <f t="shared" si="54"/>
        <v>0</v>
      </c>
      <c r="CW26" s="13">
        <f t="shared" si="54"/>
        <v>7.5757575757575746E-2</v>
      </c>
    </row>
    <row r="27" spans="1:119" ht="15.75" thickBot="1" x14ac:dyDescent="0.3">
      <c r="A27" s="42" t="s">
        <v>108</v>
      </c>
      <c r="B27" s="4" t="s">
        <v>10</v>
      </c>
      <c r="C27" s="5">
        <v>62</v>
      </c>
      <c r="D27" s="5">
        <v>42</v>
      </c>
      <c r="E27" s="5">
        <v>1</v>
      </c>
      <c r="F27" s="26">
        <v>2</v>
      </c>
      <c r="H27" s="42" t="s">
        <v>10</v>
      </c>
      <c r="I27" s="4" t="s">
        <v>109</v>
      </c>
      <c r="J27" s="5">
        <v>107</v>
      </c>
      <c r="K27" s="5">
        <v>46</v>
      </c>
      <c r="L27" s="5">
        <v>1</v>
      </c>
      <c r="M27" s="5">
        <v>3</v>
      </c>
      <c r="N27" s="4" t="s">
        <v>110</v>
      </c>
      <c r="O27" s="5">
        <v>93</v>
      </c>
      <c r="P27" s="5">
        <v>50</v>
      </c>
      <c r="Q27" s="5">
        <v>2</v>
      </c>
      <c r="R27" s="26">
        <v>2</v>
      </c>
      <c r="T27" s="18" t="s">
        <v>36</v>
      </c>
      <c r="U27">
        <f>MAX(U4:U8)</f>
        <v>9</v>
      </c>
      <c r="V27">
        <f>MAX(V16:V19)</f>
        <v>96</v>
      </c>
      <c r="W27">
        <f>MAX(W18:W19)</f>
        <v>26</v>
      </c>
      <c r="X27">
        <f>MAX(X4:X13)</f>
        <v>1</v>
      </c>
      <c r="AD27" s="19"/>
      <c r="AL27" s="42" t="s">
        <v>10</v>
      </c>
      <c r="AM27" s="46">
        <f t="shared" si="0"/>
        <v>0.80064308681672025</v>
      </c>
      <c r="AN27" s="47">
        <f t="shared" si="1"/>
        <v>0.23728813559322035</v>
      </c>
      <c r="AO27" s="47">
        <f t="shared" si="2"/>
        <v>3.8461538461538464E-2</v>
      </c>
      <c r="AP27" s="86">
        <f t="shared" si="3"/>
        <v>0.77777777777777779</v>
      </c>
      <c r="AR27" s="42" t="s">
        <v>10</v>
      </c>
      <c r="AS27">
        <v>2</v>
      </c>
      <c r="AT27" s="48">
        <v>0.65594855305466238</v>
      </c>
      <c r="AU27" s="48">
        <v>0.25988700564971751</v>
      </c>
      <c r="AV27" s="48">
        <v>0.96153846153846156</v>
      </c>
      <c r="AW27" s="48">
        <v>0.33333333333333331</v>
      </c>
      <c r="AX27">
        <v>3</v>
      </c>
      <c r="AY27" s="48">
        <v>0.70096463022508038</v>
      </c>
      <c r="AZ27" s="48">
        <v>0.2824858757062147</v>
      </c>
      <c r="BA27" s="48">
        <v>0.92307692307692313</v>
      </c>
      <c r="BB27" s="49">
        <v>0.22222222222222221</v>
      </c>
      <c r="BC27" s="48"/>
      <c r="BD27" s="42" t="s">
        <v>10</v>
      </c>
      <c r="BE27" s="46">
        <f t="shared" si="10"/>
        <v>0.19935691318327975</v>
      </c>
      <c r="BF27" s="47">
        <f t="shared" si="11"/>
        <v>0.76271186440677963</v>
      </c>
      <c r="BG27" s="47">
        <f t="shared" si="12"/>
        <v>0.96153846153846156</v>
      </c>
      <c r="BH27" s="86">
        <f t="shared" si="13"/>
        <v>0.22222222222222221</v>
      </c>
      <c r="BI27" s="48"/>
      <c r="BJ27" s="42" t="s">
        <v>6</v>
      </c>
      <c r="BK27" s="13">
        <f t="shared" si="55"/>
        <v>0.72988505747126442</v>
      </c>
      <c r="BL27" s="13">
        <f t="shared" si="56"/>
        <v>0.2832618025751073</v>
      </c>
      <c r="BM27" s="13">
        <f t="shared" si="57"/>
        <v>0</v>
      </c>
      <c r="BN27" s="13">
        <f t="shared" si="58"/>
        <v>0.63636363636363635</v>
      </c>
      <c r="BO27" s="13">
        <f t="shared" si="59"/>
        <v>0.8362068965517242</v>
      </c>
      <c r="BP27" s="13">
        <f t="shared" si="60"/>
        <v>0.52360515021459231</v>
      </c>
      <c r="BQ27" s="13">
        <f t="shared" si="61"/>
        <v>0.10344827586206896</v>
      </c>
      <c r="BR27" s="13">
        <f t="shared" si="62"/>
        <v>0.81818181818181812</v>
      </c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105" t="s">
        <v>1</v>
      </c>
      <c r="CF27" s="110">
        <f>BM23</f>
        <v>3.2258064516129031E-2</v>
      </c>
      <c r="CG27" s="13">
        <f>BQ23</f>
        <v>0.19354838709677422</v>
      </c>
      <c r="CH27" s="13">
        <f>BM41</f>
        <v>0.64516129032258063</v>
      </c>
      <c r="CI27" s="13">
        <f>BQ41</f>
        <v>0.80645161290322587</v>
      </c>
      <c r="CJ27" s="13">
        <f>BN23</f>
        <v>0.49999999999999989</v>
      </c>
      <c r="CK27" s="13">
        <f>BR23</f>
        <v>0.74999999999999989</v>
      </c>
      <c r="CL27" s="13">
        <f>BN41</f>
        <v>0</v>
      </c>
      <c r="CM27" s="102">
        <f>BR41</f>
        <v>0.25</v>
      </c>
      <c r="CO27" s="4" t="s">
        <v>6</v>
      </c>
      <c r="CP27" s="13">
        <f t="shared" si="54"/>
        <v>0</v>
      </c>
      <c r="CQ27" s="13">
        <f t="shared" si="54"/>
        <v>8.1504702194357362E-2</v>
      </c>
      <c r="CR27" s="13">
        <f t="shared" si="54"/>
        <v>9.6133751306165097E-2</v>
      </c>
      <c r="CS27" s="13">
        <f t="shared" si="54"/>
        <v>0.21734587251828633</v>
      </c>
      <c r="CT27" s="13">
        <f t="shared" si="54"/>
        <v>0</v>
      </c>
      <c r="CU27" s="13">
        <f t="shared" si="54"/>
        <v>6.8181818181818177E-2</v>
      </c>
      <c r="CV27" s="13">
        <f t="shared" si="54"/>
        <v>0</v>
      </c>
      <c r="CW27" s="13">
        <f t="shared" si="54"/>
        <v>7.5757575757575746E-2</v>
      </c>
    </row>
    <row r="28" spans="1:119" ht="15.75" thickBot="1" x14ac:dyDescent="0.3">
      <c r="A28" s="42" t="s">
        <v>108</v>
      </c>
      <c r="B28" s="4" t="s">
        <v>11</v>
      </c>
      <c r="C28" s="5">
        <v>3</v>
      </c>
      <c r="D28" s="5">
        <v>88</v>
      </c>
      <c r="E28" s="5">
        <v>0</v>
      </c>
      <c r="F28" s="26">
        <v>0</v>
      </c>
      <c r="H28" s="42" t="s">
        <v>11</v>
      </c>
      <c r="I28" s="4" t="s">
        <v>109</v>
      </c>
      <c r="J28" s="5">
        <v>3</v>
      </c>
      <c r="K28" s="5">
        <v>86</v>
      </c>
      <c r="L28" s="5">
        <v>0</v>
      </c>
      <c r="M28" s="5">
        <v>0</v>
      </c>
      <c r="N28" s="4" t="s">
        <v>110</v>
      </c>
      <c r="O28" s="5">
        <v>1</v>
      </c>
      <c r="P28" s="5">
        <v>84</v>
      </c>
      <c r="Q28" s="5">
        <v>0</v>
      </c>
      <c r="R28" s="26">
        <v>0</v>
      </c>
      <c r="T28" s="18" t="s">
        <v>107</v>
      </c>
      <c r="U28">
        <f>MAX(U9:U14)</f>
        <v>28</v>
      </c>
      <c r="V28">
        <f>MAX(V9:V15)</f>
        <v>66</v>
      </c>
      <c r="W28">
        <f>MAX(W16:W17)</f>
        <v>8</v>
      </c>
      <c r="X28">
        <f>MAX(X14:X15)</f>
        <v>5</v>
      </c>
      <c r="AD28" s="19"/>
      <c r="AL28" s="42" t="s">
        <v>11</v>
      </c>
      <c r="AM28" s="46">
        <f t="shared" si="0"/>
        <v>0.99035369774919613</v>
      </c>
      <c r="AN28" s="47">
        <f t="shared" si="1"/>
        <v>0.49717514124293788</v>
      </c>
      <c r="AO28" s="47">
        <f t="shared" si="2"/>
        <v>0</v>
      </c>
      <c r="AP28" s="86">
        <f t="shared" si="3"/>
        <v>1</v>
      </c>
      <c r="AR28" s="42" t="s">
        <v>11</v>
      </c>
      <c r="AS28">
        <v>2</v>
      </c>
      <c r="AT28" s="48">
        <v>0.99035369774919613</v>
      </c>
      <c r="AU28" s="48">
        <v>0.48587570621468928</v>
      </c>
      <c r="AV28" s="48">
        <v>1</v>
      </c>
      <c r="AW28" s="48">
        <v>0</v>
      </c>
      <c r="AX28">
        <v>3</v>
      </c>
      <c r="AY28" s="48">
        <v>0.99678456591639875</v>
      </c>
      <c r="AZ28" s="48">
        <v>0.47457627118644069</v>
      </c>
      <c r="BA28" s="48">
        <v>1</v>
      </c>
      <c r="BB28" s="49">
        <v>0</v>
      </c>
      <c r="BC28" s="48"/>
      <c r="BD28" s="42" t="s">
        <v>11</v>
      </c>
      <c r="BE28" s="46">
        <f t="shared" si="10"/>
        <v>9.6463022508038732E-3</v>
      </c>
      <c r="BF28" s="47">
        <f t="shared" si="11"/>
        <v>0.50282485875706207</v>
      </c>
      <c r="BG28" s="47">
        <f t="shared" si="12"/>
        <v>1</v>
      </c>
      <c r="BH28" s="86">
        <f t="shared" si="13"/>
        <v>0</v>
      </c>
      <c r="BI28" s="48"/>
      <c r="BJ28" s="42" t="s">
        <v>8</v>
      </c>
      <c r="BK28" s="13">
        <f t="shared" si="55"/>
        <v>0.80530973451327437</v>
      </c>
      <c r="BL28" s="13">
        <f t="shared" si="56"/>
        <v>0.16019417475728154</v>
      </c>
      <c r="BM28" s="13">
        <f t="shared" si="57"/>
        <v>0</v>
      </c>
      <c r="BN28" s="13">
        <f t="shared" si="58"/>
        <v>0.49999999999999989</v>
      </c>
      <c r="BO28" s="13">
        <f t="shared" si="59"/>
        <v>0.88790560471976399</v>
      </c>
      <c r="BP28" s="13">
        <f t="shared" si="60"/>
        <v>0.30097087378640774</v>
      </c>
      <c r="BQ28" s="13">
        <f t="shared" si="61"/>
        <v>7.1428571428571438E-2</v>
      </c>
      <c r="BR28" s="13">
        <f t="shared" si="62"/>
        <v>0.74999999999999989</v>
      </c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105" t="s">
        <v>2</v>
      </c>
      <c r="CF28" s="110">
        <f t="shared" ref="CF28:CF41" si="63">BM24</f>
        <v>0.04</v>
      </c>
      <c r="CG28" s="13">
        <f t="shared" ref="CG28:CG41" si="64">BQ24</f>
        <v>0.52</v>
      </c>
      <c r="CH28" s="13">
        <f t="shared" ref="CH28:CH41" si="65">BM42</f>
        <v>0</v>
      </c>
      <c r="CI28" s="13">
        <f t="shared" ref="CI28:CI42" si="66">BQ42</f>
        <v>0.48000000000000004</v>
      </c>
      <c r="CJ28" s="13">
        <f t="shared" ref="CJ28:CJ41" si="67">BN24</f>
        <v>0.79999999999999993</v>
      </c>
      <c r="CK28" s="13">
        <f t="shared" ref="CK28:CK42" si="68">BR24</f>
        <v>0.89999999999999991</v>
      </c>
      <c r="CL28" s="13">
        <f t="shared" ref="CL28:CL41" si="69">BN42</f>
        <v>0</v>
      </c>
      <c r="CM28" s="102">
        <f t="shared" ref="CM28:CM41" si="70">BR42</f>
        <v>0.10000000000000003</v>
      </c>
      <c r="CO28" s="4" t="s">
        <v>8</v>
      </c>
      <c r="CP28" s="13">
        <f t="shared" si="54"/>
        <v>0</v>
      </c>
      <c r="CQ28" s="13">
        <f t="shared" si="54"/>
        <v>5.627705627705628E-2</v>
      </c>
      <c r="CR28" s="13">
        <f t="shared" si="54"/>
        <v>0.1038961038961039</v>
      </c>
      <c r="CS28" s="13">
        <f t="shared" si="54"/>
        <v>0.22510822510822512</v>
      </c>
      <c r="CT28" s="13">
        <f t="shared" si="54"/>
        <v>0</v>
      </c>
      <c r="CU28" s="13">
        <f t="shared" si="54"/>
        <v>6.2499999999999986E-2</v>
      </c>
      <c r="CV28" s="13">
        <f t="shared" si="54"/>
        <v>0</v>
      </c>
      <c r="CW28" s="13">
        <f t="shared" si="54"/>
        <v>0.10416666666666667</v>
      </c>
    </row>
    <row r="29" spans="1:119" ht="15.75" thickBot="1" x14ac:dyDescent="0.3">
      <c r="A29" s="42" t="s">
        <v>108</v>
      </c>
      <c r="B29" s="4" t="s">
        <v>12</v>
      </c>
      <c r="C29" s="5">
        <v>311</v>
      </c>
      <c r="D29" s="5">
        <v>61</v>
      </c>
      <c r="E29" s="5">
        <v>16</v>
      </c>
      <c r="F29" s="26">
        <v>7</v>
      </c>
      <c r="H29" s="42" t="s">
        <v>12</v>
      </c>
      <c r="I29" s="4" t="s">
        <v>109</v>
      </c>
      <c r="J29" s="5">
        <v>23</v>
      </c>
      <c r="K29" s="5">
        <v>37</v>
      </c>
      <c r="L29" s="5">
        <v>4</v>
      </c>
      <c r="M29" s="5">
        <v>1</v>
      </c>
      <c r="N29" s="4" t="s">
        <v>110</v>
      </c>
      <c r="O29" s="5">
        <v>15</v>
      </c>
      <c r="P29" s="5">
        <v>22</v>
      </c>
      <c r="Q29" s="5">
        <v>7</v>
      </c>
      <c r="R29" s="26">
        <v>0</v>
      </c>
      <c r="T29" s="18" t="s">
        <v>37</v>
      </c>
      <c r="U29">
        <f>MAX(U15:U19)</f>
        <v>116</v>
      </c>
      <c r="V29">
        <f>MAX(V4:V8)</f>
        <v>38</v>
      </c>
      <c r="W29">
        <f>MAX(W4:W15)</f>
        <v>3</v>
      </c>
      <c r="X29">
        <f>MAX(X16:X19)</f>
        <v>9</v>
      </c>
      <c r="AD29" s="19"/>
      <c r="AL29" s="42" t="s">
        <v>12</v>
      </c>
      <c r="AM29" s="46">
        <f t="shared" si="0"/>
        <v>0</v>
      </c>
      <c r="AN29" s="47">
        <f t="shared" si="1"/>
        <v>0.34463276836158191</v>
      </c>
      <c r="AO29" s="47">
        <f t="shared" si="2"/>
        <v>0.61538461538461542</v>
      </c>
      <c r="AP29" s="86">
        <f t="shared" si="3"/>
        <v>0.22222222222222221</v>
      </c>
      <c r="AR29" s="42" t="s">
        <v>12</v>
      </c>
      <c r="AS29">
        <v>2</v>
      </c>
      <c r="AT29" s="48">
        <v>0.92604501607717038</v>
      </c>
      <c r="AU29" s="48">
        <v>0.20903954802259886</v>
      </c>
      <c r="AV29" s="48">
        <v>0.84615384615384615</v>
      </c>
      <c r="AW29" s="48">
        <v>0.1111111111111111</v>
      </c>
      <c r="AX29">
        <v>3</v>
      </c>
      <c r="AY29" s="48">
        <v>0.95176848874598075</v>
      </c>
      <c r="AZ29" s="48">
        <v>0.12429378531073447</v>
      </c>
      <c r="BA29" s="48">
        <v>0.73076923076923073</v>
      </c>
      <c r="BB29" s="49">
        <v>0</v>
      </c>
      <c r="BC29" s="48"/>
      <c r="BD29" s="42" t="s">
        <v>12</v>
      </c>
      <c r="BE29" s="46">
        <f t="shared" si="10"/>
        <v>1</v>
      </c>
      <c r="BF29" s="47">
        <f t="shared" si="11"/>
        <v>0.65536723163841804</v>
      </c>
      <c r="BG29" s="47">
        <f t="shared" si="12"/>
        <v>0.38461538461538458</v>
      </c>
      <c r="BH29" s="86">
        <f t="shared" si="13"/>
        <v>0.77777777777777779</v>
      </c>
      <c r="BI29" s="48"/>
      <c r="BJ29" s="42" t="s">
        <v>9</v>
      </c>
      <c r="BK29" s="13">
        <f t="shared" si="55"/>
        <v>0.47911547911547908</v>
      </c>
      <c r="BL29" s="13">
        <f t="shared" si="56"/>
        <v>7.598784194528875E-2</v>
      </c>
      <c r="BM29" s="13">
        <f t="shared" si="57"/>
        <v>0</v>
      </c>
      <c r="BN29" s="13">
        <f t="shared" si="58"/>
        <v>0</v>
      </c>
      <c r="BO29" s="13">
        <f t="shared" si="59"/>
        <v>0.71498771498771496</v>
      </c>
      <c r="BP29" s="13">
        <f t="shared" si="60"/>
        <v>0.53799392097264431</v>
      </c>
      <c r="BQ29" s="13">
        <f t="shared" si="61"/>
        <v>0.10344827586206896</v>
      </c>
      <c r="BR29" s="13">
        <f t="shared" si="62"/>
        <v>0.5</v>
      </c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105" t="s">
        <v>4</v>
      </c>
      <c r="CF29" s="110">
        <f t="shared" si="63"/>
        <v>0</v>
      </c>
      <c r="CG29" s="13">
        <f t="shared" si="64"/>
        <v>7.1428571428571438E-2</v>
      </c>
      <c r="CH29" s="13">
        <f t="shared" si="65"/>
        <v>0.85714285714285721</v>
      </c>
      <c r="CI29" s="13">
        <f t="shared" si="66"/>
        <v>0.9285714285714286</v>
      </c>
      <c r="CJ29" s="13">
        <f t="shared" si="67"/>
        <v>0.63636363636363635</v>
      </c>
      <c r="CK29" s="13">
        <f t="shared" si="68"/>
        <v>0.81818181818181812</v>
      </c>
      <c r="CL29" s="13">
        <f t="shared" si="69"/>
        <v>0</v>
      </c>
      <c r="CM29" s="102">
        <f t="shared" si="70"/>
        <v>0.1818181818181818</v>
      </c>
      <c r="CO29" s="4" t="s">
        <v>9</v>
      </c>
      <c r="CP29" s="13">
        <f t="shared" si="54"/>
        <v>0</v>
      </c>
      <c r="CQ29" s="13">
        <f t="shared" si="54"/>
        <v>8.1504702194357362E-2</v>
      </c>
      <c r="CR29" s="13">
        <f t="shared" si="54"/>
        <v>9.6133751306165097E-2</v>
      </c>
      <c r="CS29" s="13">
        <f t="shared" si="54"/>
        <v>0.21734587251828633</v>
      </c>
      <c r="CT29" s="13">
        <f t="shared" si="54"/>
        <v>0</v>
      </c>
      <c r="CU29" s="13">
        <f t="shared" si="54"/>
        <v>4.1666666666666664E-2</v>
      </c>
      <c r="CV29" s="13">
        <f t="shared" si="54"/>
        <v>0</v>
      </c>
      <c r="CW29" s="13">
        <f t="shared" si="54"/>
        <v>0.20833333333333334</v>
      </c>
    </row>
    <row r="30" spans="1:119" ht="15.75" thickBot="1" x14ac:dyDescent="0.3">
      <c r="A30" s="42" t="s">
        <v>108</v>
      </c>
      <c r="B30" s="4" t="s">
        <v>13</v>
      </c>
      <c r="C30" s="5">
        <v>7</v>
      </c>
      <c r="D30" s="5">
        <v>68</v>
      </c>
      <c r="E30" s="5">
        <v>3</v>
      </c>
      <c r="F30" s="26">
        <v>1</v>
      </c>
      <c r="H30" s="42" t="s">
        <v>13</v>
      </c>
      <c r="I30" s="4" t="s">
        <v>109</v>
      </c>
      <c r="J30" s="5">
        <v>11</v>
      </c>
      <c r="K30" s="5">
        <v>67</v>
      </c>
      <c r="L30" s="5">
        <v>0</v>
      </c>
      <c r="M30" s="5">
        <v>1</v>
      </c>
      <c r="N30" s="4" t="s">
        <v>110</v>
      </c>
      <c r="O30" s="5">
        <v>12</v>
      </c>
      <c r="P30" s="5">
        <v>116</v>
      </c>
      <c r="Q30" s="5">
        <v>2</v>
      </c>
      <c r="R30" s="26">
        <v>0</v>
      </c>
      <c r="T30" s="18"/>
      <c r="AD30" s="19"/>
      <c r="AL30" s="42" t="s">
        <v>13</v>
      </c>
      <c r="AM30" s="46">
        <f t="shared" si="0"/>
        <v>0.977491961414791</v>
      </c>
      <c r="AN30" s="47">
        <f t="shared" si="1"/>
        <v>0.38418079096045199</v>
      </c>
      <c r="AO30" s="47">
        <f t="shared" si="2"/>
        <v>0.11538461538461539</v>
      </c>
      <c r="AP30" s="86">
        <f t="shared" si="3"/>
        <v>0.88888888888888884</v>
      </c>
      <c r="AR30" s="42" t="s">
        <v>13</v>
      </c>
      <c r="AS30">
        <v>2</v>
      </c>
      <c r="AT30" s="48">
        <v>0.96463022508038587</v>
      </c>
      <c r="AU30" s="48">
        <v>0.37853107344632769</v>
      </c>
      <c r="AV30" s="48">
        <v>1</v>
      </c>
      <c r="AW30" s="48">
        <v>0.1111111111111111</v>
      </c>
      <c r="AX30">
        <v>3</v>
      </c>
      <c r="AY30" s="48">
        <v>0.96141479099678462</v>
      </c>
      <c r="AZ30" s="48">
        <v>0.65536723163841804</v>
      </c>
      <c r="BA30" s="48">
        <v>0.92307692307692313</v>
      </c>
      <c r="BB30" s="49">
        <v>0</v>
      </c>
      <c r="BC30" s="48"/>
      <c r="BD30" s="42" t="s">
        <v>13</v>
      </c>
      <c r="BE30" s="46">
        <f t="shared" si="10"/>
        <v>2.2508038585209E-2</v>
      </c>
      <c r="BF30" s="47">
        <f t="shared" si="11"/>
        <v>0.61581920903954801</v>
      </c>
      <c r="BG30" s="47">
        <f t="shared" si="12"/>
        <v>0.88461538461538458</v>
      </c>
      <c r="BH30" s="86">
        <f t="shared" si="13"/>
        <v>0.11111111111111116</v>
      </c>
      <c r="BI30" s="48"/>
      <c r="BJ30" s="42" t="s">
        <v>10</v>
      </c>
      <c r="BK30" s="13">
        <f t="shared" si="55"/>
        <v>0.40384615384615391</v>
      </c>
      <c r="BL30" s="13">
        <f t="shared" si="56"/>
        <v>0.14778325123152708</v>
      </c>
      <c r="BM30" s="13">
        <f t="shared" si="57"/>
        <v>2.9411764705882353E-2</v>
      </c>
      <c r="BN30" s="13">
        <f t="shared" si="58"/>
        <v>0.23076923076923073</v>
      </c>
      <c r="BO30" s="13">
        <f t="shared" si="59"/>
        <v>0.65625</v>
      </c>
      <c r="BP30" s="13">
        <f t="shared" si="60"/>
        <v>0.27586206896551729</v>
      </c>
      <c r="BQ30" s="13">
        <f t="shared" si="61"/>
        <v>0.26470588235294118</v>
      </c>
      <c r="BR30" s="13">
        <f t="shared" si="62"/>
        <v>0.53846153846153844</v>
      </c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105" t="s">
        <v>5</v>
      </c>
      <c r="CF30" s="110">
        <f t="shared" si="63"/>
        <v>0</v>
      </c>
      <c r="CG30" s="13">
        <f t="shared" si="64"/>
        <v>7.1428571428571438E-2</v>
      </c>
      <c r="CH30" s="13">
        <f t="shared" si="65"/>
        <v>0.85714285714285721</v>
      </c>
      <c r="CI30" s="13">
        <f t="shared" si="66"/>
        <v>0.9285714285714286</v>
      </c>
      <c r="CJ30" s="13">
        <f t="shared" si="67"/>
        <v>0.63636363636363635</v>
      </c>
      <c r="CK30" s="13">
        <f t="shared" si="68"/>
        <v>0.81818181818181812</v>
      </c>
      <c r="CL30" s="13">
        <f t="shared" si="69"/>
        <v>0</v>
      </c>
      <c r="CM30" s="102">
        <f t="shared" si="70"/>
        <v>0.1818181818181818</v>
      </c>
      <c r="CO30" s="4" t="s">
        <v>10</v>
      </c>
      <c r="CP30" s="13">
        <f t="shared" si="54"/>
        <v>1.3368983957219251E-2</v>
      </c>
      <c r="CQ30" s="13">
        <f t="shared" si="54"/>
        <v>0.20855614973262032</v>
      </c>
      <c r="CR30" s="13">
        <f t="shared" si="54"/>
        <v>6.0606060606060608E-2</v>
      </c>
      <c r="CS30" s="13">
        <f t="shared" si="54"/>
        <v>0.17825311942959005</v>
      </c>
      <c r="CT30" s="13">
        <f t="shared" si="54"/>
        <v>0</v>
      </c>
      <c r="CU30" s="13">
        <f t="shared" si="54"/>
        <v>4.4871794871794865E-2</v>
      </c>
      <c r="CV30" s="13">
        <f t="shared" si="54"/>
        <v>2.5641025641025637E-2</v>
      </c>
      <c r="CW30" s="13">
        <f t="shared" si="54"/>
        <v>0.19230769230769229</v>
      </c>
    </row>
    <row r="31" spans="1:119" ht="15.75" thickBot="1" x14ac:dyDescent="0.3">
      <c r="A31" s="42" t="s">
        <v>108</v>
      </c>
      <c r="B31" s="4" t="s">
        <v>14</v>
      </c>
      <c r="C31" s="5">
        <v>24</v>
      </c>
      <c r="D31" s="5">
        <v>58</v>
      </c>
      <c r="E31" s="5">
        <v>1</v>
      </c>
      <c r="F31" s="26">
        <v>1</v>
      </c>
      <c r="H31" s="42" t="s">
        <v>14</v>
      </c>
      <c r="I31" s="4" t="s">
        <v>109</v>
      </c>
      <c r="J31" s="5">
        <v>33</v>
      </c>
      <c r="K31" s="5">
        <v>74</v>
      </c>
      <c r="L31" s="5">
        <v>1</v>
      </c>
      <c r="M31" s="5">
        <v>1</v>
      </c>
      <c r="N31" s="4" t="s">
        <v>110</v>
      </c>
      <c r="O31" s="5">
        <v>22</v>
      </c>
      <c r="P31" s="5">
        <v>64</v>
      </c>
      <c r="Q31" s="5">
        <v>0</v>
      </c>
      <c r="R31" s="26">
        <v>0</v>
      </c>
      <c r="T31" s="18" t="s">
        <v>117</v>
      </c>
      <c r="AD31" s="19"/>
      <c r="AL31" s="42" t="s">
        <v>14</v>
      </c>
      <c r="AM31" s="46">
        <f t="shared" si="0"/>
        <v>0.92282958199356913</v>
      </c>
      <c r="AN31" s="47">
        <f t="shared" si="1"/>
        <v>0.32768361581920902</v>
      </c>
      <c r="AO31" s="47">
        <f t="shared" si="2"/>
        <v>3.8461538461538464E-2</v>
      </c>
      <c r="AP31" s="86">
        <f t="shared" si="3"/>
        <v>0.88888888888888884</v>
      </c>
      <c r="AR31" s="42" t="s">
        <v>14</v>
      </c>
      <c r="AS31">
        <v>2</v>
      </c>
      <c r="AT31" s="48">
        <v>0.89389067524115751</v>
      </c>
      <c r="AU31" s="48">
        <v>0.41807909604519772</v>
      </c>
      <c r="AV31" s="48">
        <v>0.96153846153846156</v>
      </c>
      <c r="AW31" s="48">
        <v>0.1111111111111111</v>
      </c>
      <c r="AX31">
        <v>3</v>
      </c>
      <c r="AY31" s="48">
        <v>0.92926045016077174</v>
      </c>
      <c r="AZ31" s="48">
        <v>0.3615819209039548</v>
      </c>
      <c r="BA31" s="48">
        <v>1</v>
      </c>
      <c r="BB31" s="49">
        <v>0</v>
      </c>
      <c r="BC31" s="48"/>
      <c r="BD31" s="42" t="s">
        <v>14</v>
      </c>
      <c r="BE31" s="46">
        <f t="shared" si="10"/>
        <v>7.7170418006430874E-2</v>
      </c>
      <c r="BF31" s="47">
        <f t="shared" si="11"/>
        <v>0.67231638418079098</v>
      </c>
      <c r="BG31" s="47">
        <f t="shared" si="12"/>
        <v>0.96153846153846156</v>
      </c>
      <c r="BH31" s="86">
        <f t="shared" si="13"/>
        <v>0.11111111111111116</v>
      </c>
      <c r="BI31" s="48"/>
      <c r="BJ31" s="42" t="s">
        <v>11</v>
      </c>
      <c r="BK31" s="13">
        <f t="shared" si="55"/>
        <v>0.98089171974522282</v>
      </c>
      <c r="BL31" s="13">
        <f t="shared" si="56"/>
        <v>0.29596412556053808</v>
      </c>
      <c r="BM31" s="13">
        <f t="shared" si="57"/>
        <v>0</v>
      </c>
      <c r="BN31" s="13">
        <f t="shared" si="58"/>
        <v>1</v>
      </c>
      <c r="BO31" s="13">
        <f t="shared" si="59"/>
        <v>0.99044585987261136</v>
      </c>
      <c r="BP31" s="13">
        <f t="shared" si="60"/>
        <v>0.50224215246636772</v>
      </c>
      <c r="BQ31" s="13">
        <f t="shared" si="61"/>
        <v>0</v>
      </c>
      <c r="BR31" s="13">
        <f t="shared" si="62"/>
        <v>1</v>
      </c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105" t="s">
        <v>6</v>
      </c>
      <c r="CF31" s="110">
        <f t="shared" si="63"/>
        <v>0</v>
      </c>
      <c r="CG31" s="13">
        <f t="shared" si="64"/>
        <v>0.10344827586206896</v>
      </c>
      <c r="CH31" s="13">
        <f t="shared" si="65"/>
        <v>0.79310344827586199</v>
      </c>
      <c r="CI31" s="13">
        <f t="shared" si="66"/>
        <v>0.89655172413793105</v>
      </c>
      <c r="CJ31" s="13">
        <f t="shared" si="67"/>
        <v>0.63636363636363635</v>
      </c>
      <c r="CK31" s="13">
        <f t="shared" si="68"/>
        <v>0.81818181818181812</v>
      </c>
      <c r="CL31" s="13">
        <f t="shared" si="69"/>
        <v>0</v>
      </c>
      <c r="CM31" s="102">
        <f t="shared" si="70"/>
        <v>0.1818181818181818</v>
      </c>
      <c r="CO31" s="4" t="s">
        <v>11</v>
      </c>
      <c r="CP31" s="13">
        <f t="shared" si="54"/>
        <v>0</v>
      </c>
      <c r="CQ31" s="13">
        <f t="shared" si="54"/>
        <v>0</v>
      </c>
      <c r="CR31" s="13">
        <f t="shared" si="54"/>
        <v>0.12121212121212122</v>
      </c>
      <c r="CS31" s="13">
        <f t="shared" si="54"/>
        <v>0.24242424242424243</v>
      </c>
      <c r="CT31" s="13">
        <f t="shared" si="54"/>
        <v>0</v>
      </c>
      <c r="CU31" s="13">
        <f t="shared" si="54"/>
        <v>8.3333333333333329E-2</v>
      </c>
      <c r="CV31" s="13">
        <f t="shared" si="54"/>
        <v>0</v>
      </c>
      <c r="CW31" s="13">
        <f t="shared" si="54"/>
        <v>0</v>
      </c>
    </row>
    <row r="32" spans="1:119" ht="15.75" thickBot="1" x14ac:dyDescent="0.3">
      <c r="A32" s="42" t="s">
        <v>108</v>
      </c>
      <c r="B32" s="4" t="s">
        <v>15</v>
      </c>
      <c r="C32" s="5">
        <v>3</v>
      </c>
      <c r="D32" s="5">
        <v>25</v>
      </c>
      <c r="E32" s="5">
        <v>0</v>
      </c>
      <c r="F32" s="26">
        <v>1</v>
      </c>
      <c r="H32" s="42" t="s">
        <v>15</v>
      </c>
      <c r="I32" s="4" t="s">
        <v>109</v>
      </c>
      <c r="J32" s="5">
        <v>10</v>
      </c>
      <c r="K32" s="5">
        <v>48</v>
      </c>
      <c r="L32" s="5">
        <v>3</v>
      </c>
      <c r="M32" s="5">
        <v>1</v>
      </c>
      <c r="N32" s="4" t="s">
        <v>110</v>
      </c>
      <c r="O32" s="5">
        <v>4</v>
      </c>
      <c r="P32" s="5">
        <v>27</v>
      </c>
      <c r="Q32" s="5">
        <v>1</v>
      </c>
      <c r="R32" s="26">
        <v>2</v>
      </c>
      <c r="T32" s="18"/>
      <c r="U32">
        <f>(U27+U29+U23)</f>
        <v>135</v>
      </c>
      <c r="V32">
        <f t="shared" ref="V32:X32" si="71">(V27+V29+V23)</f>
        <v>174</v>
      </c>
      <c r="W32">
        <f t="shared" si="71"/>
        <v>33</v>
      </c>
      <c r="X32">
        <f t="shared" si="71"/>
        <v>12</v>
      </c>
      <c r="AD32" s="19"/>
      <c r="AL32" s="42" t="s">
        <v>15</v>
      </c>
      <c r="AM32" s="46">
        <f t="shared" si="0"/>
        <v>0.99035369774919613</v>
      </c>
      <c r="AN32" s="47">
        <f t="shared" si="1"/>
        <v>0.14124293785310735</v>
      </c>
      <c r="AO32" s="47">
        <f t="shared" si="2"/>
        <v>0</v>
      </c>
      <c r="AP32" s="86">
        <f t="shared" si="3"/>
        <v>0.88888888888888884</v>
      </c>
      <c r="AR32" s="42" t="s">
        <v>15</v>
      </c>
      <c r="AS32">
        <v>2</v>
      </c>
      <c r="AT32" s="48">
        <v>0.96784565916398713</v>
      </c>
      <c r="AU32" s="48">
        <v>0.2711864406779661</v>
      </c>
      <c r="AV32" s="48">
        <v>0.88461538461538458</v>
      </c>
      <c r="AW32" s="48">
        <v>0.1111111111111111</v>
      </c>
      <c r="AX32">
        <v>3</v>
      </c>
      <c r="AY32" s="48">
        <v>0.98713826366559487</v>
      </c>
      <c r="AZ32" s="48">
        <v>0.15254237288135594</v>
      </c>
      <c r="BA32" s="48">
        <v>0.96153846153846156</v>
      </c>
      <c r="BB32" s="49">
        <v>0.22222222222222221</v>
      </c>
      <c r="BC32" s="48"/>
      <c r="BD32" s="42" t="s">
        <v>15</v>
      </c>
      <c r="BE32" s="46">
        <f t="shared" si="10"/>
        <v>9.6463022508038732E-3</v>
      </c>
      <c r="BF32" s="47">
        <f t="shared" si="11"/>
        <v>0.85875706214689262</v>
      </c>
      <c r="BG32" s="47">
        <f t="shared" si="12"/>
        <v>1</v>
      </c>
      <c r="BH32" s="86">
        <f t="shared" si="13"/>
        <v>0.11111111111111116</v>
      </c>
      <c r="BI32" s="48"/>
      <c r="BJ32" s="42" t="s">
        <v>12</v>
      </c>
      <c r="BK32" s="13">
        <f t="shared" si="55"/>
        <v>0</v>
      </c>
      <c r="BL32" s="13">
        <f t="shared" si="56"/>
        <v>9.606986899563319E-2</v>
      </c>
      <c r="BM32" s="13">
        <f t="shared" si="57"/>
        <v>2.4390243902439022E-2</v>
      </c>
      <c r="BN32" s="13">
        <f t="shared" si="58"/>
        <v>0.125</v>
      </c>
      <c r="BO32" s="13">
        <f t="shared" si="59"/>
        <v>0.4926590538336052</v>
      </c>
      <c r="BP32" s="13">
        <f t="shared" si="60"/>
        <v>0.32314410480349343</v>
      </c>
      <c r="BQ32" s="13">
        <f t="shared" si="61"/>
        <v>0.39024390243902435</v>
      </c>
      <c r="BR32" s="13">
        <f t="shared" si="62"/>
        <v>0.5625</v>
      </c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105" t="s">
        <v>8</v>
      </c>
      <c r="CF32" s="110">
        <f t="shared" si="63"/>
        <v>0</v>
      </c>
      <c r="CG32" s="13">
        <f t="shared" si="64"/>
        <v>7.1428571428571438E-2</v>
      </c>
      <c r="CH32" s="13">
        <f t="shared" si="65"/>
        <v>0.85714285714285721</v>
      </c>
      <c r="CI32" s="13">
        <f t="shared" si="66"/>
        <v>0.9285714285714286</v>
      </c>
      <c r="CJ32" s="13">
        <f t="shared" si="67"/>
        <v>0.49999999999999989</v>
      </c>
      <c r="CK32" s="13">
        <f t="shared" si="68"/>
        <v>0.74999999999999989</v>
      </c>
      <c r="CL32" s="13">
        <f t="shared" si="69"/>
        <v>0</v>
      </c>
      <c r="CM32" s="102">
        <f t="shared" si="70"/>
        <v>0.25</v>
      </c>
      <c r="CO32" s="4" t="s">
        <v>12</v>
      </c>
      <c r="CP32" s="13">
        <f t="shared" si="54"/>
        <v>1.1086474501108647E-2</v>
      </c>
      <c r="CQ32" s="13">
        <f t="shared" si="54"/>
        <v>0.30746489283074646</v>
      </c>
      <c r="CR32" s="13">
        <f t="shared" si="54"/>
        <v>2.9563932002956386E-2</v>
      </c>
      <c r="CS32" s="13">
        <f t="shared" si="54"/>
        <v>0.14781966001478197</v>
      </c>
      <c r="CT32" s="13">
        <f t="shared" si="54"/>
        <v>0</v>
      </c>
      <c r="CU32" s="13">
        <f t="shared" si="54"/>
        <v>4.6875E-2</v>
      </c>
      <c r="CV32" s="13">
        <f t="shared" si="54"/>
        <v>0</v>
      </c>
      <c r="CW32" s="13">
        <f t="shared" si="54"/>
        <v>0.18229166666666669</v>
      </c>
    </row>
    <row r="33" spans="1:101" ht="15.75" thickBot="1" x14ac:dyDescent="0.3">
      <c r="A33" s="42" t="s">
        <v>108</v>
      </c>
      <c r="B33" s="4" t="s">
        <v>16</v>
      </c>
      <c r="C33" s="5">
        <v>50</v>
      </c>
      <c r="D33" s="5">
        <v>39</v>
      </c>
      <c r="E33" s="5">
        <v>3</v>
      </c>
      <c r="F33" s="26">
        <v>2</v>
      </c>
      <c r="H33" s="42" t="s">
        <v>16</v>
      </c>
      <c r="I33" s="4" t="s">
        <v>109</v>
      </c>
      <c r="J33" s="5">
        <v>133</v>
      </c>
      <c r="K33" s="5">
        <v>57</v>
      </c>
      <c r="L33" s="5">
        <v>14</v>
      </c>
      <c r="M33" s="5">
        <v>3</v>
      </c>
      <c r="N33" s="4" t="s">
        <v>110</v>
      </c>
      <c r="O33" s="5">
        <v>52</v>
      </c>
      <c r="P33" s="5">
        <v>34</v>
      </c>
      <c r="Q33" s="5">
        <v>4</v>
      </c>
      <c r="R33" s="26">
        <v>4</v>
      </c>
      <c r="T33" s="18"/>
      <c r="AD33" s="19"/>
      <c r="AL33" s="42" t="s">
        <v>16</v>
      </c>
      <c r="AM33" s="46">
        <f t="shared" si="0"/>
        <v>0.83922829581993574</v>
      </c>
      <c r="AN33" s="47">
        <f t="shared" si="1"/>
        <v>0.22033898305084745</v>
      </c>
      <c r="AO33" s="47">
        <f t="shared" si="2"/>
        <v>0.11538461538461539</v>
      </c>
      <c r="AP33" s="86">
        <f t="shared" si="3"/>
        <v>0.77777777777777779</v>
      </c>
      <c r="AR33" s="42" t="s">
        <v>16</v>
      </c>
      <c r="AS33">
        <v>2</v>
      </c>
      <c r="AT33" s="48">
        <v>0.57234726688102899</v>
      </c>
      <c r="AU33" s="48">
        <v>0.32203389830508472</v>
      </c>
      <c r="AV33" s="48">
        <v>0.46153846153846156</v>
      </c>
      <c r="AW33" s="48">
        <v>0.33333333333333331</v>
      </c>
      <c r="AX33">
        <v>3</v>
      </c>
      <c r="AY33" s="48">
        <v>0.83279742765273312</v>
      </c>
      <c r="AZ33" s="48">
        <v>0.19209039548022599</v>
      </c>
      <c r="BA33" s="48">
        <v>0.84615384615384615</v>
      </c>
      <c r="BB33" s="49">
        <v>0.44444444444444442</v>
      </c>
      <c r="BC33" s="48"/>
      <c r="BD33" s="42" t="s">
        <v>16</v>
      </c>
      <c r="BE33" s="46">
        <f t="shared" si="10"/>
        <v>0.16077170418006426</v>
      </c>
      <c r="BF33" s="47">
        <f t="shared" si="11"/>
        <v>0.77966101694915257</v>
      </c>
      <c r="BG33" s="47">
        <f t="shared" si="12"/>
        <v>0.88461538461538458</v>
      </c>
      <c r="BH33" s="86">
        <f t="shared" si="13"/>
        <v>0.22222222222222221</v>
      </c>
      <c r="BI33" s="48"/>
      <c r="BJ33" s="42" t="s">
        <v>13</v>
      </c>
      <c r="BK33" s="13">
        <f t="shared" si="55"/>
        <v>0.89814814814814814</v>
      </c>
      <c r="BL33" s="13">
        <f t="shared" si="56"/>
        <v>0.22594142259414229</v>
      </c>
      <c r="BM33" s="13">
        <f t="shared" si="57"/>
        <v>0</v>
      </c>
      <c r="BN33" s="13">
        <f t="shared" si="58"/>
        <v>0.2857142857142857</v>
      </c>
      <c r="BO33" s="13">
        <f t="shared" si="59"/>
        <v>0.93827160493827155</v>
      </c>
      <c r="BP33" s="13">
        <f t="shared" si="60"/>
        <v>0.48535564853556484</v>
      </c>
      <c r="BQ33" s="13">
        <f t="shared" si="61"/>
        <v>0.10344827586206896</v>
      </c>
      <c r="BR33" s="13">
        <f t="shared" si="62"/>
        <v>0.64285714285714279</v>
      </c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105" t="s">
        <v>9</v>
      </c>
      <c r="CF33" s="110">
        <f t="shared" si="63"/>
        <v>0</v>
      </c>
      <c r="CG33" s="13">
        <f t="shared" si="64"/>
        <v>0.10344827586206896</v>
      </c>
      <c r="CH33" s="13">
        <f t="shared" si="65"/>
        <v>0.79310344827586199</v>
      </c>
      <c r="CI33" s="13">
        <f t="shared" si="66"/>
        <v>0.89655172413793105</v>
      </c>
      <c r="CJ33" s="13">
        <f t="shared" si="67"/>
        <v>0</v>
      </c>
      <c r="CK33" s="13">
        <f t="shared" si="68"/>
        <v>0.5</v>
      </c>
      <c r="CL33" s="13">
        <f t="shared" si="69"/>
        <v>0</v>
      </c>
      <c r="CM33" s="102">
        <f t="shared" si="70"/>
        <v>0.5</v>
      </c>
      <c r="CO33" s="4" t="s">
        <v>13</v>
      </c>
      <c r="CP33" s="13">
        <f t="shared" si="54"/>
        <v>0</v>
      </c>
      <c r="CQ33" s="13">
        <f t="shared" si="54"/>
        <v>8.1504702194357362E-2</v>
      </c>
      <c r="CR33" s="13">
        <f t="shared" si="54"/>
        <v>9.6133751306165097E-2</v>
      </c>
      <c r="CS33" s="13">
        <f t="shared" si="54"/>
        <v>0.21734587251828633</v>
      </c>
      <c r="CT33" s="13">
        <f t="shared" si="54"/>
        <v>0</v>
      </c>
      <c r="CU33" s="13">
        <f t="shared" si="54"/>
        <v>5.3571428571428562E-2</v>
      </c>
      <c r="CV33" s="13">
        <f t="shared" si="54"/>
        <v>0</v>
      </c>
      <c r="CW33" s="13">
        <f t="shared" si="54"/>
        <v>0.14880952380952381</v>
      </c>
    </row>
    <row r="34" spans="1:101" ht="15.75" thickBot="1" x14ac:dyDescent="0.3">
      <c r="A34" s="42" t="s">
        <v>108</v>
      </c>
      <c r="B34" s="4" t="s">
        <v>17</v>
      </c>
      <c r="C34" s="5">
        <v>4</v>
      </c>
      <c r="D34" s="5">
        <v>12</v>
      </c>
      <c r="E34" s="5">
        <v>0</v>
      </c>
      <c r="F34" s="26">
        <v>0</v>
      </c>
      <c r="H34" s="42" t="s">
        <v>17</v>
      </c>
      <c r="I34" s="4" t="s">
        <v>109</v>
      </c>
      <c r="J34" s="5">
        <v>18</v>
      </c>
      <c r="K34" s="5">
        <v>9</v>
      </c>
      <c r="L34" s="5">
        <v>0</v>
      </c>
      <c r="M34" s="5">
        <v>1</v>
      </c>
      <c r="N34" s="4" t="s">
        <v>110</v>
      </c>
      <c r="O34" s="5">
        <v>9</v>
      </c>
      <c r="P34" s="5">
        <v>11</v>
      </c>
      <c r="Q34" s="5">
        <v>0</v>
      </c>
      <c r="R34" s="26">
        <v>0</v>
      </c>
      <c r="T34" s="18"/>
      <c r="U34" s="7" t="s">
        <v>64</v>
      </c>
      <c r="V34" s="7" t="s">
        <v>65</v>
      </c>
      <c r="W34" s="7" t="s">
        <v>66</v>
      </c>
      <c r="X34" s="7" t="s">
        <v>67</v>
      </c>
      <c r="AD34" s="19"/>
      <c r="AL34" s="42" t="s">
        <v>17</v>
      </c>
      <c r="AM34" s="46">
        <f t="shared" si="0"/>
        <v>0.98713826366559487</v>
      </c>
      <c r="AN34" s="47">
        <f t="shared" si="1"/>
        <v>6.7796610169491525E-2</v>
      </c>
      <c r="AO34" s="47">
        <f t="shared" si="2"/>
        <v>0</v>
      </c>
      <c r="AP34" s="86">
        <f t="shared" si="3"/>
        <v>1</v>
      </c>
      <c r="AR34" s="42" t="s">
        <v>17</v>
      </c>
      <c r="AS34">
        <v>2</v>
      </c>
      <c r="AT34" s="48">
        <v>0.94212218649517687</v>
      </c>
      <c r="AU34" s="48">
        <v>5.0847457627118647E-2</v>
      </c>
      <c r="AV34" s="48">
        <v>1</v>
      </c>
      <c r="AW34" s="48">
        <v>0.1111111111111111</v>
      </c>
      <c r="AX34">
        <v>3</v>
      </c>
      <c r="AY34" s="48">
        <v>0.97106109324758838</v>
      </c>
      <c r="AZ34" s="48">
        <v>6.2146892655367235E-2</v>
      </c>
      <c r="BA34" s="48">
        <v>1</v>
      </c>
      <c r="BB34" s="49">
        <v>0</v>
      </c>
      <c r="BC34" s="48"/>
      <c r="BD34" s="42" t="s">
        <v>17</v>
      </c>
      <c r="BE34" s="46">
        <f t="shared" si="10"/>
        <v>1.2861736334405127E-2</v>
      </c>
      <c r="BF34" s="47">
        <f t="shared" si="11"/>
        <v>0.93220338983050843</v>
      </c>
      <c r="BG34" s="47">
        <f t="shared" si="12"/>
        <v>1</v>
      </c>
      <c r="BH34" s="86">
        <f t="shared" si="13"/>
        <v>0</v>
      </c>
      <c r="BI34" s="48"/>
      <c r="BJ34" s="42" t="s">
        <v>14</v>
      </c>
      <c r="BK34" s="13">
        <f t="shared" si="55"/>
        <v>0.70738636363636365</v>
      </c>
      <c r="BL34" s="13">
        <f t="shared" si="56"/>
        <v>0.23041474654377883</v>
      </c>
      <c r="BM34" s="13">
        <f t="shared" si="57"/>
        <v>0</v>
      </c>
      <c r="BN34" s="13">
        <f t="shared" si="58"/>
        <v>0.19999999999999998</v>
      </c>
      <c r="BO34" s="13">
        <f t="shared" si="59"/>
        <v>0.82386363636363635</v>
      </c>
      <c r="BP34" s="13">
        <f t="shared" si="60"/>
        <v>0.41474654377880188</v>
      </c>
      <c r="BQ34" s="13">
        <f t="shared" si="61"/>
        <v>3.7037037037037035E-2</v>
      </c>
      <c r="BR34" s="13">
        <f t="shared" si="62"/>
        <v>0.6</v>
      </c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105" t="s">
        <v>10</v>
      </c>
      <c r="CF34" s="110">
        <f t="shared" si="63"/>
        <v>2.9411764705882353E-2</v>
      </c>
      <c r="CG34" s="13">
        <f t="shared" si="64"/>
        <v>0.26470588235294118</v>
      </c>
      <c r="CH34" s="13">
        <f t="shared" si="65"/>
        <v>0.5</v>
      </c>
      <c r="CI34" s="13">
        <f t="shared" si="66"/>
        <v>0.73529411764705888</v>
      </c>
      <c r="CJ34" s="13">
        <f t="shared" si="67"/>
        <v>0.23076923076923073</v>
      </c>
      <c r="CK34" s="13">
        <f t="shared" si="68"/>
        <v>0.53846153846153844</v>
      </c>
      <c r="CL34" s="13">
        <f t="shared" si="69"/>
        <v>0.15384615384615383</v>
      </c>
      <c r="CM34" s="102">
        <f t="shared" si="70"/>
        <v>0.46153846153846151</v>
      </c>
      <c r="CO34" s="4" t="s">
        <v>14</v>
      </c>
      <c r="CP34" s="13">
        <f t="shared" si="54"/>
        <v>0</v>
      </c>
      <c r="CQ34" s="13">
        <f t="shared" si="54"/>
        <v>2.918069584736251E-2</v>
      </c>
      <c r="CR34" s="13">
        <f t="shared" si="54"/>
        <v>0.11223344556677889</v>
      </c>
      <c r="CS34" s="13">
        <f t="shared" si="54"/>
        <v>0.2334455667789001</v>
      </c>
      <c r="CT34" s="13">
        <f t="shared" si="54"/>
        <v>0</v>
      </c>
      <c r="CU34" s="13">
        <f t="shared" si="54"/>
        <v>4.9999999999999996E-2</v>
      </c>
      <c r="CV34" s="13">
        <f t="shared" si="54"/>
        <v>0</v>
      </c>
      <c r="CW34" s="13">
        <f t="shared" si="54"/>
        <v>0.16666666666666669</v>
      </c>
    </row>
    <row r="35" spans="1:101" ht="15.75" thickBot="1" x14ac:dyDescent="0.3">
      <c r="A35" s="79" t="s">
        <v>108</v>
      </c>
      <c r="B35" s="80" t="s">
        <v>21</v>
      </c>
      <c r="C35" s="81">
        <v>0</v>
      </c>
      <c r="D35" s="81">
        <v>0</v>
      </c>
      <c r="E35" s="81">
        <v>0</v>
      </c>
      <c r="F35" s="82">
        <v>0</v>
      </c>
      <c r="H35" s="42" t="s">
        <v>21</v>
      </c>
      <c r="I35" s="4" t="s">
        <v>109</v>
      </c>
      <c r="J35" s="5">
        <v>1</v>
      </c>
      <c r="K35" s="5">
        <v>0</v>
      </c>
      <c r="L35" s="5">
        <v>0</v>
      </c>
      <c r="M35" s="5">
        <v>0</v>
      </c>
      <c r="N35" s="4" t="s">
        <v>110</v>
      </c>
      <c r="O35" s="5">
        <v>0</v>
      </c>
      <c r="P35" s="5">
        <v>1</v>
      </c>
      <c r="Q35" s="5">
        <v>0</v>
      </c>
      <c r="R35" s="26">
        <v>0</v>
      </c>
      <c r="T35" s="15" t="s">
        <v>38</v>
      </c>
      <c r="U35" s="97">
        <f>U22/U$32</f>
        <v>1.4814814814814815E-2</v>
      </c>
      <c r="V35" s="97">
        <f>V22/V$32</f>
        <v>0.40229885057471265</v>
      </c>
      <c r="W35" s="97">
        <f>W22/W$32</f>
        <v>0.45454545454545453</v>
      </c>
      <c r="X35" s="98">
        <f>X22/X$32</f>
        <v>0</v>
      </c>
      <c r="AD35" s="19"/>
      <c r="AL35" s="61" t="s">
        <v>21</v>
      </c>
      <c r="AM35" s="87">
        <f t="shared" si="0"/>
        <v>1</v>
      </c>
      <c r="AN35" s="88">
        <f t="shared" si="1"/>
        <v>0</v>
      </c>
      <c r="AO35" s="88">
        <f t="shared" si="2"/>
        <v>0</v>
      </c>
      <c r="AP35" s="89">
        <f t="shared" si="3"/>
        <v>1</v>
      </c>
      <c r="AR35" s="42" t="s">
        <v>21</v>
      </c>
      <c r="AS35">
        <v>2</v>
      </c>
      <c r="AT35" s="48">
        <v>0.99678456591639875</v>
      </c>
      <c r="AU35" s="48">
        <v>0</v>
      </c>
      <c r="AV35" s="48">
        <v>1</v>
      </c>
      <c r="AW35" s="48">
        <v>0</v>
      </c>
      <c r="AX35">
        <v>3</v>
      </c>
      <c r="AY35" s="48">
        <v>1</v>
      </c>
      <c r="AZ35" s="48">
        <v>5.6497175141242938E-3</v>
      </c>
      <c r="BA35" s="48">
        <v>1</v>
      </c>
      <c r="BB35" s="49">
        <v>0</v>
      </c>
      <c r="BC35" s="48"/>
      <c r="BD35" s="61" t="s">
        <v>21</v>
      </c>
      <c r="BE35" s="87">
        <f t="shared" si="10"/>
        <v>0</v>
      </c>
      <c r="BF35" s="88">
        <f t="shared" si="11"/>
        <v>1</v>
      </c>
      <c r="BG35" s="88">
        <f t="shared" si="12"/>
        <v>1</v>
      </c>
      <c r="BH35" s="89">
        <f t="shared" si="13"/>
        <v>0</v>
      </c>
      <c r="BI35" s="48"/>
      <c r="BJ35" s="42" t="s">
        <v>15</v>
      </c>
      <c r="BK35" s="13">
        <f t="shared" si="55"/>
        <v>0.94654088050314467</v>
      </c>
      <c r="BL35" s="13">
        <f t="shared" si="56"/>
        <v>7.6923076923076927E-2</v>
      </c>
      <c r="BM35" s="13">
        <f t="shared" si="57"/>
        <v>0</v>
      </c>
      <c r="BN35" s="13">
        <f t="shared" si="58"/>
        <v>0.63636363636363635</v>
      </c>
      <c r="BO35" s="13">
        <f t="shared" si="59"/>
        <v>0.96855345911949686</v>
      </c>
      <c r="BP35" s="13">
        <f t="shared" si="60"/>
        <v>0.32051282051282048</v>
      </c>
      <c r="BQ35" s="13">
        <f t="shared" si="61"/>
        <v>0.10344827586206896</v>
      </c>
      <c r="BR35" s="13">
        <f t="shared" si="62"/>
        <v>0.81818181818181812</v>
      </c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105" t="s">
        <v>11</v>
      </c>
      <c r="CF35" s="110">
        <f t="shared" si="63"/>
        <v>0</v>
      </c>
      <c r="CG35" s="13">
        <f t="shared" si="64"/>
        <v>0</v>
      </c>
      <c r="CH35" s="13">
        <f t="shared" si="65"/>
        <v>1</v>
      </c>
      <c r="CI35" s="13">
        <f t="shared" si="66"/>
        <v>1</v>
      </c>
      <c r="CJ35" s="13">
        <f t="shared" si="67"/>
        <v>1</v>
      </c>
      <c r="CK35" s="13">
        <f t="shared" si="68"/>
        <v>1</v>
      </c>
      <c r="CL35" s="13">
        <f t="shared" si="69"/>
        <v>0</v>
      </c>
      <c r="CM35" s="102">
        <f t="shared" si="70"/>
        <v>0</v>
      </c>
      <c r="CO35" s="4" t="s">
        <v>15</v>
      </c>
      <c r="CP35" s="13">
        <f t="shared" si="54"/>
        <v>0</v>
      </c>
      <c r="CQ35" s="13">
        <f t="shared" si="54"/>
        <v>8.1504702194357362E-2</v>
      </c>
      <c r="CR35" s="13">
        <f t="shared" si="54"/>
        <v>9.6133751306165097E-2</v>
      </c>
      <c r="CS35" s="13">
        <f t="shared" si="54"/>
        <v>0.21734587251828633</v>
      </c>
      <c r="CT35" s="13">
        <f t="shared" si="54"/>
        <v>0</v>
      </c>
      <c r="CU35" s="13">
        <f t="shared" si="54"/>
        <v>6.8181818181818177E-2</v>
      </c>
      <c r="CV35" s="13">
        <f t="shared" si="54"/>
        <v>0</v>
      </c>
      <c r="CW35" s="13">
        <f t="shared" si="54"/>
        <v>7.5757575757575746E-2</v>
      </c>
    </row>
    <row r="36" spans="1:101" ht="15.75" thickBot="1" x14ac:dyDescent="0.3">
      <c r="A36" s="39" t="s">
        <v>118</v>
      </c>
      <c r="B36" s="76" t="s">
        <v>1</v>
      </c>
      <c r="C36" s="77">
        <v>144</v>
      </c>
      <c r="D36" s="77">
        <v>51</v>
      </c>
      <c r="E36" s="77">
        <v>6</v>
      </c>
      <c r="F36" s="78">
        <v>2</v>
      </c>
      <c r="H36" s="42" t="s">
        <v>1</v>
      </c>
      <c r="I36" s="4" t="s">
        <v>119</v>
      </c>
      <c r="J36" s="5">
        <v>18</v>
      </c>
      <c r="K36" s="5">
        <v>107</v>
      </c>
      <c r="L36" s="5">
        <v>2</v>
      </c>
      <c r="M36" s="5">
        <v>3</v>
      </c>
      <c r="N36" s="4" t="s">
        <v>120</v>
      </c>
      <c r="O36" s="5">
        <v>5</v>
      </c>
      <c r="P36" s="5">
        <v>70</v>
      </c>
      <c r="Q36" s="5">
        <v>2</v>
      </c>
      <c r="R36" s="26">
        <v>1</v>
      </c>
      <c r="T36" s="18"/>
      <c r="U36" s="13">
        <f>U27/U$32</f>
        <v>6.6666666666666666E-2</v>
      </c>
      <c r="V36" s="13">
        <f>V27/V$32</f>
        <v>0.55172413793103448</v>
      </c>
      <c r="W36" s="13">
        <f>W27/W$32</f>
        <v>0.78787878787878785</v>
      </c>
      <c r="X36" s="55">
        <f>X27/X$32</f>
        <v>8.3333333333333329E-2</v>
      </c>
      <c r="AD36" s="19"/>
      <c r="AL36" s="42" t="s">
        <v>1</v>
      </c>
      <c r="AM36" s="93">
        <f t="shared" ref="AM36:AM67" si="72">(AG$4-C36)/(AG$4-AG$5)</f>
        <v>0.53697749196141475</v>
      </c>
      <c r="AN36" s="94">
        <f t="shared" ref="AN36:AN67" si="73">(D36-AH$5)/(AH$4-AH$5)</f>
        <v>0.28813559322033899</v>
      </c>
      <c r="AO36" s="94">
        <f t="shared" ref="AO36:AO67" si="74">(E36-AI$5)/(AI$4-AI$5)</f>
        <v>0.23076923076923078</v>
      </c>
      <c r="AP36" s="95">
        <f t="shared" ref="AP36:AP67" si="75">(AJ$4-F36)/(AJ$4-AJ$5)</f>
        <v>0.77777777777777779</v>
      </c>
      <c r="AR36" s="42" t="s">
        <v>1</v>
      </c>
      <c r="AS36">
        <v>4</v>
      </c>
      <c r="AT36" s="48">
        <v>0.94212218649517687</v>
      </c>
      <c r="AU36" s="48">
        <v>0.60451977401129942</v>
      </c>
      <c r="AV36" s="48">
        <v>0.92307692307692313</v>
      </c>
      <c r="AW36" s="48">
        <v>0.33333333333333331</v>
      </c>
      <c r="AX36">
        <v>5</v>
      </c>
      <c r="AY36" s="48">
        <v>0.98392282958199362</v>
      </c>
      <c r="AZ36" s="48">
        <v>0.39548022598870058</v>
      </c>
      <c r="BA36" s="48">
        <v>0.92307692307692313</v>
      </c>
      <c r="BB36" s="49">
        <v>0.1111111111111111</v>
      </c>
      <c r="BC36" s="48"/>
      <c r="BD36" s="42" t="s">
        <v>1</v>
      </c>
      <c r="BE36" s="93">
        <f t="shared" si="10"/>
        <v>0.46302250803858525</v>
      </c>
      <c r="BF36" s="94">
        <f t="shared" si="11"/>
        <v>0.71186440677966101</v>
      </c>
      <c r="BG36" s="94">
        <f t="shared" si="12"/>
        <v>0.76923076923076916</v>
      </c>
      <c r="BH36" s="95">
        <f t="shared" si="13"/>
        <v>0.22222222222222221</v>
      </c>
      <c r="BI36" s="48"/>
      <c r="BJ36" s="42" t="s">
        <v>16</v>
      </c>
      <c r="BK36" s="13">
        <f t="shared" si="55"/>
        <v>0.43842364532019712</v>
      </c>
      <c r="BL36" s="13">
        <f t="shared" si="56"/>
        <v>0.14912280701754385</v>
      </c>
      <c r="BM36" s="13">
        <f t="shared" si="57"/>
        <v>2.5000000000000005E-2</v>
      </c>
      <c r="BN36" s="13">
        <f t="shared" si="58"/>
        <v>0</v>
      </c>
      <c r="BO36" s="13">
        <f t="shared" si="59"/>
        <v>0.6724137931034484</v>
      </c>
      <c r="BP36" s="13">
        <f t="shared" si="60"/>
        <v>0.37280701754385964</v>
      </c>
      <c r="BQ36" s="13">
        <f t="shared" si="61"/>
        <v>0.375</v>
      </c>
      <c r="BR36" s="13">
        <f t="shared" si="62"/>
        <v>0.43750000000000006</v>
      </c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105" t="s">
        <v>12</v>
      </c>
      <c r="CF36" s="110">
        <f t="shared" si="63"/>
        <v>2.4390243902439022E-2</v>
      </c>
      <c r="CG36" s="13">
        <f t="shared" si="64"/>
        <v>0.39024390243902435</v>
      </c>
      <c r="CH36" s="13">
        <f t="shared" si="65"/>
        <v>0.24390243902439018</v>
      </c>
      <c r="CI36" s="13">
        <f t="shared" si="66"/>
        <v>0.6097560975609756</v>
      </c>
      <c r="CJ36" s="13">
        <f t="shared" si="67"/>
        <v>0.125</v>
      </c>
      <c r="CK36" s="13">
        <f t="shared" si="68"/>
        <v>0.5625</v>
      </c>
      <c r="CL36" s="13">
        <f t="shared" si="69"/>
        <v>0</v>
      </c>
      <c r="CM36" s="102">
        <f t="shared" si="70"/>
        <v>0.43750000000000006</v>
      </c>
      <c r="CO36" s="4" t="s">
        <v>16</v>
      </c>
      <c r="CP36" s="13">
        <f t="shared" si="54"/>
        <v>1.1363636363636366E-2</v>
      </c>
      <c r="CQ36" s="13">
        <f t="shared" si="54"/>
        <v>0.29545454545454541</v>
      </c>
      <c r="CR36" s="13">
        <f t="shared" si="54"/>
        <v>3.3333333333333347E-2</v>
      </c>
      <c r="CS36" s="13">
        <f t="shared" si="54"/>
        <v>0.15151515151515155</v>
      </c>
      <c r="CT36" s="13">
        <f t="shared" si="54"/>
        <v>0</v>
      </c>
      <c r="CU36" s="13">
        <f t="shared" si="54"/>
        <v>3.6458333333333336E-2</v>
      </c>
      <c r="CV36" s="13">
        <f t="shared" si="54"/>
        <v>2.0833333333333332E-2</v>
      </c>
      <c r="CW36" s="13">
        <f t="shared" si="54"/>
        <v>0.234375</v>
      </c>
    </row>
    <row r="37" spans="1:101" ht="15.75" thickBot="1" x14ac:dyDescent="0.3">
      <c r="A37" s="42" t="s">
        <v>118</v>
      </c>
      <c r="B37" s="4" t="s">
        <v>2</v>
      </c>
      <c r="C37" s="5">
        <v>1</v>
      </c>
      <c r="D37" s="5">
        <v>27</v>
      </c>
      <c r="E37" s="5">
        <v>7</v>
      </c>
      <c r="F37" s="26">
        <v>0</v>
      </c>
      <c r="H37" s="42" t="s">
        <v>2</v>
      </c>
      <c r="I37" s="4" t="s">
        <v>119</v>
      </c>
      <c r="J37" s="5">
        <v>1</v>
      </c>
      <c r="K37" s="5">
        <v>144</v>
      </c>
      <c r="L37" s="5">
        <v>3</v>
      </c>
      <c r="M37" s="5">
        <v>1</v>
      </c>
      <c r="N37" s="4" t="s">
        <v>120</v>
      </c>
      <c r="O37" s="5">
        <v>2</v>
      </c>
      <c r="P37" s="5">
        <v>63</v>
      </c>
      <c r="Q37" s="5">
        <v>26</v>
      </c>
      <c r="R37" s="26">
        <v>0</v>
      </c>
      <c r="T37" s="18" t="s">
        <v>39</v>
      </c>
      <c r="U37" s="13">
        <f>U23/U$32</f>
        <v>7.407407407407407E-2</v>
      </c>
      <c r="V37" s="119">
        <f>V23/V$32</f>
        <v>0.22988505747126436</v>
      </c>
      <c r="W37" s="13">
        <f>W23/W$32</f>
        <v>0.12121212121212122</v>
      </c>
      <c r="X37" s="55">
        <f>X23/X$32</f>
        <v>0.16666666666666666</v>
      </c>
      <c r="AD37" s="19"/>
      <c r="AL37" s="42" t="s">
        <v>2</v>
      </c>
      <c r="AM37" s="46">
        <f t="shared" si="72"/>
        <v>0.99678456591639875</v>
      </c>
      <c r="AN37" s="47">
        <f t="shared" si="73"/>
        <v>0.15254237288135594</v>
      </c>
      <c r="AO37" s="47">
        <f t="shared" si="74"/>
        <v>0.26923076923076922</v>
      </c>
      <c r="AP37" s="86">
        <f t="shared" si="75"/>
        <v>1</v>
      </c>
      <c r="AR37" s="42" t="s">
        <v>2</v>
      </c>
      <c r="AS37">
        <v>4</v>
      </c>
      <c r="AT37" s="48">
        <v>0.99678456591639875</v>
      </c>
      <c r="AU37" s="48">
        <v>0.81355932203389836</v>
      </c>
      <c r="AV37" s="48">
        <v>0.88461538461538458</v>
      </c>
      <c r="AW37" s="48">
        <v>0.1111111111111111</v>
      </c>
      <c r="AX37">
        <v>5</v>
      </c>
      <c r="AY37" s="48">
        <v>0.99356913183279738</v>
      </c>
      <c r="AZ37" s="48">
        <v>0.3559322033898305</v>
      </c>
      <c r="BA37" s="48">
        <v>0</v>
      </c>
      <c r="BB37" s="49">
        <v>0</v>
      </c>
      <c r="BC37" s="48"/>
      <c r="BD37" s="42" t="s">
        <v>2</v>
      </c>
      <c r="BE37" s="46">
        <f t="shared" si="10"/>
        <v>3.215434083601254E-3</v>
      </c>
      <c r="BF37" s="47">
        <f t="shared" si="11"/>
        <v>0.84745762711864403</v>
      </c>
      <c r="BG37" s="47">
        <f t="shared" si="12"/>
        <v>0.73076923076923084</v>
      </c>
      <c r="BH37" s="86">
        <f t="shared" si="13"/>
        <v>0</v>
      </c>
      <c r="BI37" s="48"/>
      <c r="BJ37" s="42" t="s">
        <v>17</v>
      </c>
      <c r="BK37" s="13">
        <f t="shared" si="55"/>
        <v>0.85585585585585566</v>
      </c>
      <c r="BL37" s="13">
        <f t="shared" si="56"/>
        <v>4.0723981900452497E-2</v>
      </c>
      <c r="BM37" s="13">
        <f t="shared" si="57"/>
        <v>0</v>
      </c>
      <c r="BN37" s="13">
        <f t="shared" si="58"/>
        <v>0.63636363636363635</v>
      </c>
      <c r="BO37" s="13">
        <f t="shared" si="59"/>
        <v>0.92192192192192179</v>
      </c>
      <c r="BP37" s="13">
        <f t="shared" si="60"/>
        <v>0.23981900452488691</v>
      </c>
      <c r="BQ37" s="13">
        <f t="shared" si="61"/>
        <v>3.7037037037037035E-2</v>
      </c>
      <c r="BR37" s="13">
        <f t="shared" si="62"/>
        <v>0.81818181818181812</v>
      </c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105" t="s">
        <v>13</v>
      </c>
      <c r="CF37" s="110">
        <f t="shared" si="63"/>
        <v>0</v>
      </c>
      <c r="CG37" s="13">
        <f t="shared" si="64"/>
        <v>0.10344827586206896</v>
      </c>
      <c r="CH37" s="13">
        <f t="shared" si="65"/>
        <v>0.79310344827586199</v>
      </c>
      <c r="CI37" s="13">
        <f t="shared" si="66"/>
        <v>0.89655172413793105</v>
      </c>
      <c r="CJ37" s="13">
        <f t="shared" si="67"/>
        <v>0.2857142857142857</v>
      </c>
      <c r="CK37" s="13">
        <f t="shared" si="68"/>
        <v>0.64285714285714279</v>
      </c>
      <c r="CL37" s="13">
        <f t="shared" si="69"/>
        <v>0</v>
      </c>
      <c r="CM37" s="102">
        <f t="shared" si="70"/>
        <v>0.35714285714285715</v>
      </c>
      <c r="CO37" s="4" t="s">
        <v>17</v>
      </c>
      <c r="CP37" s="13">
        <f t="shared" si="54"/>
        <v>0</v>
      </c>
      <c r="CQ37" s="13">
        <f t="shared" si="54"/>
        <v>2.918069584736251E-2</v>
      </c>
      <c r="CR37" s="13">
        <f t="shared" si="54"/>
        <v>0.11223344556677889</v>
      </c>
      <c r="CS37" s="13">
        <f t="shared" si="54"/>
        <v>0.2334455667789001</v>
      </c>
      <c r="CT37" s="13">
        <f t="shared" si="54"/>
        <v>0</v>
      </c>
      <c r="CU37" s="13">
        <f t="shared" si="54"/>
        <v>6.8181818181818177E-2</v>
      </c>
      <c r="CV37" s="13">
        <f t="shared" si="54"/>
        <v>0</v>
      </c>
      <c r="CW37" s="13">
        <f t="shared" si="54"/>
        <v>7.5757575757575746E-2</v>
      </c>
    </row>
    <row r="38" spans="1:101" ht="15.75" thickBot="1" x14ac:dyDescent="0.3">
      <c r="A38" s="42" t="s">
        <v>118</v>
      </c>
      <c r="B38" s="4" t="s">
        <v>4</v>
      </c>
      <c r="C38" s="5">
        <v>34</v>
      </c>
      <c r="D38" s="5">
        <v>8</v>
      </c>
      <c r="E38" s="5">
        <v>0</v>
      </c>
      <c r="F38" s="26">
        <v>0</v>
      </c>
      <c r="H38" s="42" t="s">
        <v>4</v>
      </c>
      <c r="I38" s="4" t="s">
        <v>119</v>
      </c>
      <c r="J38" s="5">
        <v>78</v>
      </c>
      <c r="K38" s="5">
        <v>23</v>
      </c>
      <c r="L38" s="5">
        <v>2</v>
      </c>
      <c r="M38" s="5">
        <v>1</v>
      </c>
      <c r="N38" s="4" t="s">
        <v>120</v>
      </c>
      <c r="O38" s="5">
        <v>28</v>
      </c>
      <c r="P38" s="5">
        <v>14</v>
      </c>
      <c r="Q38" s="5">
        <v>1</v>
      </c>
      <c r="R38" s="26">
        <v>2</v>
      </c>
      <c r="T38" s="20"/>
      <c r="U38" s="62">
        <f>U28/U$32</f>
        <v>0.2074074074074074</v>
      </c>
      <c r="V38" s="120">
        <f>V28/V$32</f>
        <v>0.37931034482758619</v>
      </c>
      <c r="W38" s="62">
        <f>W28/W$32</f>
        <v>0.24242424242424243</v>
      </c>
      <c r="X38" s="63">
        <f>X28/X$32</f>
        <v>0.41666666666666669</v>
      </c>
      <c r="AD38" s="19"/>
      <c r="AL38" s="42" t="s">
        <v>4</v>
      </c>
      <c r="AM38" s="46">
        <f t="shared" si="72"/>
        <v>0.89067524115755625</v>
      </c>
      <c r="AN38" s="47">
        <f t="shared" si="73"/>
        <v>4.519774011299435E-2</v>
      </c>
      <c r="AO38" s="47">
        <f t="shared" si="74"/>
        <v>0</v>
      </c>
      <c r="AP38" s="86">
        <f t="shared" si="75"/>
        <v>1</v>
      </c>
      <c r="AR38" s="42" t="s">
        <v>4</v>
      </c>
      <c r="AS38">
        <v>4</v>
      </c>
      <c r="AT38" s="48">
        <v>0.74919614147909963</v>
      </c>
      <c r="AU38" s="48">
        <v>0.12994350282485875</v>
      </c>
      <c r="AV38" s="48">
        <v>0.92307692307692313</v>
      </c>
      <c r="AW38" s="48">
        <v>0.1111111111111111</v>
      </c>
      <c r="AX38">
        <v>5</v>
      </c>
      <c r="AY38" s="48">
        <v>0.909967845659164</v>
      </c>
      <c r="AZ38" s="48">
        <v>7.909604519774012E-2</v>
      </c>
      <c r="BA38" s="48">
        <v>0.96153846153846156</v>
      </c>
      <c r="BB38" s="49">
        <v>0.22222222222222221</v>
      </c>
      <c r="BC38" s="48"/>
      <c r="BD38" s="42" t="s">
        <v>4</v>
      </c>
      <c r="BE38" s="46">
        <f t="shared" si="10"/>
        <v>0.10932475884244375</v>
      </c>
      <c r="BF38" s="47">
        <f t="shared" si="11"/>
        <v>0.95480225988700562</v>
      </c>
      <c r="BG38" s="47">
        <f t="shared" si="12"/>
        <v>1</v>
      </c>
      <c r="BH38" s="86">
        <f t="shared" si="13"/>
        <v>0</v>
      </c>
      <c r="BI38" s="48"/>
      <c r="BJ38" s="42" t="s">
        <v>21</v>
      </c>
      <c r="BK38" s="13">
        <f t="shared" si="55"/>
        <v>0.97460317460317469</v>
      </c>
      <c r="BL38" s="13">
        <f t="shared" si="56"/>
        <v>0</v>
      </c>
      <c r="BM38" s="13">
        <f t="shared" si="57"/>
        <v>0</v>
      </c>
      <c r="BN38" s="13">
        <f t="shared" si="58"/>
        <v>0.79999999999999993</v>
      </c>
      <c r="BO38" s="13">
        <f t="shared" si="59"/>
        <v>0.98730158730158746</v>
      </c>
      <c r="BP38" s="13">
        <f t="shared" si="60"/>
        <v>0.35164835164835168</v>
      </c>
      <c r="BQ38" s="13">
        <f t="shared" si="61"/>
        <v>0.23529411764705882</v>
      </c>
      <c r="BR38" s="13">
        <f t="shared" si="62"/>
        <v>0.89999999999999991</v>
      </c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105" t="s">
        <v>14</v>
      </c>
      <c r="CF38" s="110">
        <f t="shared" si="63"/>
        <v>0</v>
      </c>
      <c r="CG38" s="13">
        <f t="shared" si="64"/>
        <v>3.7037037037037035E-2</v>
      </c>
      <c r="CH38" s="13">
        <f t="shared" si="65"/>
        <v>0.92592592592592582</v>
      </c>
      <c r="CI38" s="13">
        <f t="shared" si="66"/>
        <v>0.96296296296296291</v>
      </c>
      <c r="CJ38" s="13">
        <f t="shared" si="67"/>
        <v>0.19999999999999998</v>
      </c>
      <c r="CK38" s="13">
        <f t="shared" si="68"/>
        <v>0.6</v>
      </c>
      <c r="CL38" s="13">
        <f t="shared" si="69"/>
        <v>0</v>
      </c>
      <c r="CM38" s="102">
        <f t="shared" si="70"/>
        <v>0.4</v>
      </c>
      <c r="CO38" s="4" t="s">
        <v>21</v>
      </c>
      <c r="CP38" s="13">
        <f t="shared" si="54"/>
        <v>0</v>
      </c>
      <c r="CQ38" s="13">
        <f t="shared" si="54"/>
        <v>0.1853832442067736</v>
      </c>
      <c r="CR38" s="13">
        <f t="shared" si="54"/>
        <v>6.4171122994652413E-2</v>
      </c>
      <c r="CS38" s="13">
        <f t="shared" si="54"/>
        <v>0.1853832442067736</v>
      </c>
      <c r="CT38" s="13">
        <f t="shared" si="54"/>
        <v>0</v>
      </c>
      <c r="CU38" s="13">
        <f t="shared" si="54"/>
        <v>7.4999999999999983E-2</v>
      </c>
      <c r="CV38" s="13">
        <f t="shared" si="54"/>
        <v>0</v>
      </c>
      <c r="CW38" s="13">
        <f t="shared" si="54"/>
        <v>4.1666666666666685E-2</v>
      </c>
    </row>
    <row r="39" spans="1:101" ht="16.5" thickBot="1" x14ac:dyDescent="0.3">
      <c r="A39" s="42" t="s">
        <v>118</v>
      </c>
      <c r="B39" s="4" t="s">
        <v>5</v>
      </c>
      <c r="C39" s="5">
        <v>27</v>
      </c>
      <c r="D39" s="5">
        <v>34</v>
      </c>
      <c r="E39" s="5">
        <v>2</v>
      </c>
      <c r="F39" s="26">
        <v>1</v>
      </c>
      <c r="H39" s="42" t="s">
        <v>5</v>
      </c>
      <c r="I39" s="4" t="s">
        <v>119</v>
      </c>
      <c r="J39" s="5">
        <v>33</v>
      </c>
      <c r="K39" s="5">
        <v>87</v>
      </c>
      <c r="L39" s="5">
        <v>0</v>
      </c>
      <c r="M39" s="5">
        <v>0</v>
      </c>
      <c r="N39" s="4" t="s">
        <v>120</v>
      </c>
      <c r="O39" s="5">
        <v>28</v>
      </c>
      <c r="P39" s="5">
        <v>56</v>
      </c>
      <c r="Q39" s="5">
        <v>0</v>
      </c>
      <c r="R39" s="26">
        <v>0</v>
      </c>
      <c r="T39" s="18" t="s">
        <v>121</v>
      </c>
      <c r="AD39" s="19"/>
      <c r="AL39" s="42" t="s">
        <v>5</v>
      </c>
      <c r="AM39" s="46">
        <f t="shared" si="72"/>
        <v>0.91318327974276525</v>
      </c>
      <c r="AN39" s="47">
        <f t="shared" si="73"/>
        <v>0.19209039548022599</v>
      </c>
      <c r="AO39" s="47">
        <f t="shared" si="74"/>
        <v>7.6923076923076927E-2</v>
      </c>
      <c r="AP39" s="86">
        <f t="shared" si="75"/>
        <v>0.88888888888888884</v>
      </c>
      <c r="AR39" s="42" t="s">
        <v>5</v>
      </c>
      <c r="AS39">
        <v>4</v>
      </c>
      <c r="AT39" s="48">
        <v>0.89389067524115751</v>
      </c>
      <c r="AU39" s="48">
        <v>0.49152542372881358</v>
      </c>
      <c r="AV39" s="48">
        <v>1</v>
      </c>
      <c r="AW39" s="48">
        <v>0</v>
      </c>
      <c r="AX39">
        <v>5</v>
      </c>
      <c r="AY39" s="48">
        <v>0.909967845659164</v>
      </c>
      <c r="AZ39" s="48">
        <v>0.31638418079096048</v>
      </c>
      <c r="BA39" s="48">
        <v>1</v>
      </c>
      <c r="BB39" s="49">
        <v>0</v>
      </c>
      <c r="BC39" s="48"/>
      <c r="BD39" s="42" t="s">
        <v>5</v>
      </c>
      <c r="BE39" s="46">
        <f t="shared" si="10"/>
        <v>8.6816720257234747E-2</v>
      </c>
      <c r="BF39" s="47">
        <f t="shared" si="11"/>
        <v>0.80790960451977401</v>
      </c>
      <c r="BG39" s="47">
        <f t="shared" si="12"/>
        <v>0.92307692307692313</v>
      </c>
      <c r="BH39" s="86">
        <f t="shared" si="13"/>
        <v>0.11111111111111116</v>
      </c>
      <c r="BI39" s="48"/>
      <c r="BJ39" s="136" t="s">
        <v>41</v>
      </c>
      <c r="BK39" s="138" t="s">
        <v>111</v>
      </c>
      <c r="BL39" s="138"/>
      <c r="BM39" s="138"/>
      <c r="BN39" s="138"/>
      <c r="BO39" s="138" t="s">
        <v>112</v>
      </c>
      <c r="BP39" s="138"/>
      <c r="BQ39" s="138"/>
      <c r="BR39" s="139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105" t="s">
        <v>15</v>
      </c>
      <c r="CF39" s="110">
        <f t="shared" si="63"/>
        <v>0</v>
      </c>
      <c r="CG39" s="13">
        <f t="shared" si="64"/>
        <v>0.10344827586206896</v>
      </c>
      <c r="CH39" s="13">
        <f t="shared" si="65"/>
        <v>0.79310344827586199</v>
      </c>
      <c r="CI39" s="13">
        <f t="shared" si="66"/>
        <v>0.89655172413793105</v>
      </c>
      <c r="CJ39" s="13">
        <f t="shared" si="67"/>
        <v>0.63636363636363635</v>
      </c>
      <c r="CK39" s="13">
        <f t="shared" si="68"/>
        <v>0.81818181818181812</v>
      </c>
      <c r="CL39" s="13">
        <f t="shared" si="69"/>
        <v>0</v>
      </c>
      <c r="CM39" s="102">
        <f t="shared" si="70"/>
        <v>0.1818181818181818</v>
      </c>
    </row>
    <row r="40" spans="1:101" ht="15.75" thickBot="1" x14ac:dyDescent="0.3">
      <c r="A40" s="42" t="s">
        <v>118</v>
      </c>
      <c r="B40" s="4" t="s">
        <v>6</v>
      </c>
      <c r="C40" s="5">
        <v>46</v>
      </c>
      <c r="D40" s="5">
        <v>110</v>
      </c>
      <c r="E40" s="5">
        <v>0</v>
      </c>
      <c r="F40" s="26">
        <v>2</v>
      </c>
      <c r="H40" s="42" t="s">
        <v>6</v>
      </c>
      <c r="I40" s="4" t="s">
        <v>119</v>
      </c>
      <c r="J40" s="5">
        <v>30</v>
      </c>
      <c r="K40" s="5">
        <v>79</v>
      </c>
      <c r="L40" s="5">
        <v>3</v>
      </c>
      <c r="M40" s="5">
        <v>1</v>
      </c>
      <c r="N40" s="4" t="s">
        <v>120</v>
      </c>
      <c r="O40" s="5">
        <v>51</v>
      </c>
      <c r="P40" s="5">
        <v>66</v>
      </c>
      <c r="Q40" s="5">
        <v>3</v>
      </c>
      <c r="R40" s="26">
        <v>0</v>
      </c>
      <c r="T40" s="18"/>
      <c r="U40" s="13">
        <f>1+(U35+U36)/2-(U37+U38)/2</f>
        <v>0.9</v>
      </c>
      <c r="V40" s="13">
        <f>1+(V35+V36)/2-(V37+V38)/2</f>
        <v>1.1724137931034484</v>
      </c>
      <c r="W40" s="13">
        <f>1+(W35+W36)/2-(W37+W38)/2</f>
        <v>1.4393939393939392</v>
      </c>
      <c r="X40" s="13">
        <f>1+(X35+X36)/2-(X37+X38)/2</f>
        <v>0.75</v>
      </c>
      <c r="AD40" s="19"/>
      <c r="AL40" s="42" t="s">
        <v>6</v>
      </c>
      <c r="AM40" s="46">
        <f t="shared" si="72"/>
        <v>0.85209003215434087</v>
      </c>
      <c r="AN40" s="47">
        <f t="shared" si="73"/>
        <v>0.62146892655367236</v>
      </c>
      <c r="AO40" s="47">
        <f t="shared" si="74"/>
        <v>0</v>
      </c>
      <c r="AP40" s="86">
        <f t="shared" si="75"/>
        <v>0.77777777777777779</v>
      </c>
      <c r="AR40" s="42" t="s">
        <v>6</v>
      </c>
      <c r="AS40">
        <v>4</v>
      </c>
      <c r="AT40" s="48">
        <v>0.90353697749196138</v>
      </c>
      <c r="AU40" s="48">
        <v>0.4463276836158192</v>
      </c>
      <c r="AV40" s="48">
        <v>0.88461538461538458</v>
      </c>
      <c r="AW40" s="48">
        <v>0.1111111111111111</v>
      </c>
      <c r="AX40">
        <v>5</v>
      </c>
      <c r="AY40" s="48">
        <v>0.83601286173633438</v>
      </c>
      <c r="AZ40" s="48">
        <v>0.3728813559322034</v>
      </c>
      <c r="BA40" s="48">
        <v>0.88461538461538458</v>
      </c>
      <c r="BB40" s="49">
        <v>0</v>
      </c>
      <c r="BC40" s="48"/>
      <c r="BD40" s="42" t="s">
        <v>6</v>
      </c>
      <c r="BE40" s="46">
        <f t="shared" si="10"/>
        <v>0.14790996784565913</v>
      </c>
      <c r="BF40" s="47">
        <f t="shared" si="11"/>
        <v>0.37853107344632764</v>
      </c>
      <c r="BG40" s="47">
        <f t="shared" si="12"/>
        <v>1</v>
      </c>
      <c r="BH40" s="86">
        <f t="shared" si="13"/>
        <v>0.22222222222222221</v>
      </c>
      <c r="BI40" s="48"/>
      <c r="BJ40" s="137"/>
      <c r="BK40" s="50" t="s">
        <v>64</v>
      </c>
      <c r="BL40" s="50" t="s">
        <v>65</v>
      </c>
      <c r="BM40" s="50" t="s">
        <v>66</v>
      </c>
      <c r="BN40" s="50" t="s">
        <v>67</v>
      </c>
      <c r="BO40" s="50" t="s">
        <v>64</v>
      </c>
      <c r="BP40" s="50" t="s">
        <v>65</v>
      </c>
      <c r="BQ40" s="50" t="s">
        <v>66</v>
      </c>
      <c r="BR40" s="51" t="s">
        <v>67</v>
      </c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105" t="s">
        <v>16</v>
      </c>
      <c r="CF40" s="110">
        <f t="shared" si="63"/>
        <v>2.5000000000000005E-2</v>
      </c>
      <c r="CG40" s="13">
        <f t="shared" si="64"/>
        <v>0.375</v>
      </c>
      <c r="CH40" s="13">
        <f t="shared" si="65"/>
        <v>0.27500000000000008</v>
      </c>
      <c r="CI40" s="13">
        <f t="shared" si="66"/>
        <v>0.62500000000000011</v>
      </c>
      <c r="CJ40" s="13">
        <f t="shared" si="67"/>
        <v>0</v>
      </c>
      <c r="CK40" s="13">
        <f t="shared" si="68"/>
        <v>0.43750000000000006</v>
      </c>
      <c r="CL40" s="13">
        <f t="shared" si="69"/>
        <v>0.125</v>
      </c>
      <c r="CM40" s="102">
        <f t="shared" si="70"/>
        <v>0.5625</v>
      </c>
    </row>
    <row r="41" spans="1:101" ht="15.75" thickBot="1" x14ac:dyDescent="0.3">
      <c r="A41" s="42" t="s">
        <v>118</v>
      </c>
      <c r="B41" s="4" t="s">
        <v>8</v>
      </c>
      <c r="C41" s="5">
        <v>35</v>
      </c>
      <c r="D41" s="5">
        <v>47</v>
      </c>
      <c r="E41" s="5">
        <v>1</v>
      </c>
      <c r="F41" s="26">
        <v>1</v>
      </c>
      <c r="H41" s="42" t="s">
        <v>8</v>
      </c>
      <c r="I41" s="4" t="s">
        <v>119</v>
      </c>
      <c r="J41" s="5">
        <v>38</v>
      </c>
      <c r="K41" s="5">
        <v>50</v>
      </c>
      <c r="L41" s="5">
        <v>1</v>
      </c>
      <c r="M41" s="5">
        <v>3</v>
      </c>
      <c r="N41" s="4" t="s">
        <v>120</v>
      </c>
      <c r="O41" s="5">
        <v>20</v>
      </c>
      <c r="P41" s="5">
        <v>33</v>
      </c>
      <c r="Q41" s="5">
        <v>1</v>
      </c>
      <c r="R41" s="26">
        <v>1</v>
      </c>
      <c r="T41" s="64">
        <f>SUM(U40:X40)/2</f>
        <v>2.1309038662486937</v>
      </c>
      <c r="U41" s="21"/>
      <c r="V41" s="21"/>
      <c r="W41" s="21"/>
      <c r="X41" s="21"/>
      <c r="Y41" s="21"/>
      <c r="Z41" s="21"/>
      <c r="AA41" s="21"/>
      <c r="AB41" s="21"/>
      <c r="AC41" s="21"/>
      <c r="AD41" s="22"/>
      <c r="AL41" s="42" t="s">
        <v>8</v>
      </c>
      <c r="AM41" s="46">
        <f t="shared" si="72"/>
        <v>0.887459807073955</v>
      </c>
      <c r="AN41" s="47">
        <f t="shared" si="73"/>
        <v>0.2655367231638418</v>
      </c>
      <c r="AO41" s="47">
        <f t="shared" si="74"/>
        <v>3.8461538461538464E-2</v>
      </c>
      <c r="AP41" s="86">
        <f t="shared" si="75"/>
        <v>0.88888888888888884</v>
      </c>
      <c r="AR41" s="42" t="s">
        <v>8</v>
      </c>
      <c r="AS41">
        <v>4</v>
      </c>
      <c r="AT41" s="48">
        <v>0.87781350482315113</v>
      </c>
      <c r="AU41" s="48">
        <v>0.2824858757062147</v>
      </c>
      <c r="AV41" s="48">
        <v>0.96153846153846156</v>
      </c>
      <c r="AW41" s="48">
        <v>0.33333333333333331</v>
      </c>
      <c r="AX41">
        <v>5</v>
      </c>
      <c r="AY41" s="48">
        <v>0.93569131832797425</v>
      </c>
      <c r="AZ41" s="48">
        <v>0.1864406779661017</v>
      </c>
      <c r="BA41" s="48">
        <v>0.96153846153846156</v>
      </c>
      <c r="BB41" s="49">
        <v>0.1111111111111111</v>
      </c>
      <c r="BC41" s="48"/>
      <c r="BD41" s="42" t="s">
        <v>8</v>
      </c>
      <c r="BE41" s="46">
        <f t="shared" si="10"/>
        <v>0.112540192926045</v>
      </c>
      <c r="BF41" s="47">
        <f t="shared" si="11"/>
        <v>0.7344632768361582</v>
      </c>
      <c r="BG41" s="47">
        <f t="shared" si="12"/>
        <v>0.96153846153846156</v>
      </c>
      <c r="BH41" s="86">
        <f t="shared" si="13"/>
        <v>0.11111111111111116</v>
      </c>
      <c r="BI41" s="48"/>
      <c r="BJ41" s="42" t="s">
        <v>1</v>
      </c>
      <c r="BK41" s="13">
        <f>BV5/(BO5+BZ5)</f>
        <v>8.8691796008869058E-3</v>
      </c>
      <c r="BL41" s="13">
        <f t="shared" ref="BL41:BN41" si="76">BW5/(BP5+CA5)</f>
        <v>0.27777777777777779</v>
      </c>
      <c r="BM41" s="13">
        <f t="shared" si="76"/>
        <v>0.64516129032258063</v>
      </c>
      <c r="BN41" s="13">
        <f t="shared" si="76"/>
        <v>0</v>
      </c>
      <c r="BO41" s="13">
        <f>BZ5/(BO5+BZ5)</f>
        <v>0.31929046563192909</v>
      </c>
      <c r="BP41" s="13">
        <f t="shared" ref="BP41:BR41" si="77">CA5/(BP5+CA5)</f>
        <v>0.57539682539682535</v>
      </c>
      <c r="BQ41" s="13">
        <f t="shared" si="77"/>
        <v>0.80645161290322587</v>
      </c>
      <c r="BR41" s="13">
        <f t="shared" si="77"/>
        <v>0.25</v>
      </c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105" t="s">
        <v>17</v>
      </c>
      <c r="CF41" s="110">
        <f t="shared" si="63"/>
        <v>0</v>
      </c>
      <c r="CG41" s="13">
        <f t="shared" si="64"/>
        <v>3.7037037037037035E-2</v>
      </c>
      <c r="CH41" s="13">
        <f t="shared" si="65"/>
        <v>0.92592592592592582</v>
      </c>
      <c r="CI41" s="13">
        <f t="shared" si="66"/>
        <v>0.96296296296296291</v>
      </c>
      <c r="CJ41" s="13">
        <f t="shared" si="67"/>
        <v>0.63636363636363635</v>
      </c>
      <c r="CK41" s="13">
        <f t="shared" si="68"/>
        <v>0.81818181818181812</v>
      </c>
      <c r="CL41" s="13">
        <f t="shared" si="69"/>
        <v>0</v>
      </c>
      <c r="CM41" s="102">
        <f t="shared" si="70"/>
        <v>0.1818181818181818</v>
      </c>
    </row>
    <row r="42" spans="1:101" ht="15.75" thickBot="1" x14ac:dyDescent="0.3">
      <c r="A42" s="42" t="s">
        <v>118</v>
      </c>
      <c r="B42" s="4" t="s">
        <v>9</v>
      </c>
      <c r="C42" s="5">
        <v>26</v>
      </c>
      <c r="D42" s="5">
        <v>25</v>
      </c>
      <c r="E42" s="5">
        <v>3</v>
      </c>
      <c r="F42" s="26">
        <v>1</v>
      </c>
      <c r="H42" s="42" t="s">
        <v>9</v>
      </c>
      <c r="I42" s="4" t="s">
        <v>119</v>
      </c>
      <c r="J42" s="5">
        <v>110</v>
      </c>
      <c r="K42" s="5">
        <v>177</v>
      </c>
      <c r="L42" s="5">
        <v>1</v>
      </c>
      <c r="M42" s="5">
        <v>5</v>
      </c>
      <c r="N42" s="4" t="s">
        <v>120</v>
      </c>
      <c r="O42" s="5">
        <v>116</v>
      </c>
      <c r="P42" s="5">
        <v>40</v>
      </c>
      <c r="Q42" s="5">
        <v>1</v>
      </c>
      <c r="R42" s="26">
        <v>9</v>
      </c>
      <c r="AL42" s="42" t="s">
        <v>9</v>
      </c>
      <c r="AM42" s="46">
        <f t="shared" si="72"/>
        <v>0.91639871382636651</v>
      </c>
      <c r="AN42" s="47">
        <f t="shared" si="73"/>
        <v>0.14124293785310735</v>
      </c>
      <c r="AO42" s="47">
        <f t="shared" si="74"/>
        <v>0.11538461538461539</v>
      </c>
      <c r="AP42" s="86">
        <f t="shared" si="75"/>
        <v>0.88888888888888884</v>
      </c>
      <c r="AR42" s="42" t="s">
        <v>9</v>
      </c>
      <c r="AS42">
        <v>4</v>
      </c>
      <c r="AT42" s="48">
        <v>0.6463022508038585</v>
      </c>
      <c r="AU42" s="48">
        <v>1</v>
      </c>
      <c r="AV42" s="48">
        <v>0.96153846153846156</v>
      </c>
      <c r="AW42" s="48">
        <v>0.55555555555555558</v>
      </c>
      <c r="AX42">
        <v>5</v>
      </c>
      <c r="AY42" s="48">
        <v>0.62700964630225076</v>
      </c>
      <c r="AZ42" s="48">
        <v>0.22598870056497175</v>
      </c>
      <c r="BA42" s="48">
        <v>0.96153846153846156</v>
      </c>
      <c r="BB42" s="49">
        <v>1</v>
      </c>
      <c r="BC42" s="48"/>
      <c r="BD42" s="42" t="s">
        <v>9</v>
      </c>
      <c r="BE42" s="46">
        <f t="shared" si="10"/>
        <v>8.3601286173633493E-2</v>
      </c>
      <c r="BF42" s="47">
        <f t="shared" si="11"/>
        <v>0.85875706214689262</v>
      </c>
      <c r="BG42" s="47">
        <f t="shared" si="12"/>
        <v>0.88461538461538458</v>
      </c>
      <c r="BH42" s="86">
        <f t="shared" si="13"/>
        <v>0.11111111111111116</v>
      </c>
      <c r="BI42" s="48"/>
      <c r="BJ42" s="42" t="s">
        <v>2</v>
      </c>
      <c r="BK42" s="13">
        <f t="shared" ref="BK42:BK56" si="78">BV6/(BO6+BZ6)</f>
        <v>0</v>
      </c>
      <c r="BL42" s="13">
        <f t="shared" ref="BL42:BL56" si="79">BW6/(BP6+CA6)</f>
        <v>0.1103678929765886</v>
      </c>
      <c r="BM42" s="13">
        <f t="shared" ref="BM42:BM56" si="80">BX6/(BQ6+CB6)</f>
        <v>0</v>
      </c>
      <c r="BN42" s="13">
        <f t="shared" ref="BN42:BN56" si="81">BY6/(BR6+CC6)</f>
        <v>0</v>
      </c>
      <c r="BO42" s="13">
        <f t="shared" ref="BO42:BO56" si="82">BZ6/(BO6+BZ6)</f>
        <v>6.3897763578275226E-3</v>
      </c>
      <c r="BP42" s="13">
        <f t="shared" ref="BP42:BP56" si="83">CA6/(BP6+CA6)</f>
        <v>0.51839464882943143</v>
      </c>
      <c r="BQ42" s="13">
        <f t="shared" ref="BQ42:BQ56" si="84">CB6/(BQ6+CB6)</f>
        <v>0.48000000000000004</v>
      </c>
      <c r="BR42" s="13">
        <f t="shared" ref="BR42:BR55" si="85">CC6/(BR6+CC6)</f>
        <v>0.10000000000000003</v>
      </c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105" t="s">
        <v>21</v>
      </c>
      <c r="CF42" s="113">
        <f>BM38</f>
        <v>0</v>
      </c>
      <c r="CG42" s="103">
        <f>BQ38</f>
        <v>0.23529411764705882</v>
      </c>
      <c r="CH42" s="103">
        <f>BM56</f>
        <v>0.52941176470588236</v>
      </c>
      <c r="CI42" s="103">
        <f t="shared" si="66"/>
        <v>0.76470588235294112</v>
      </c>
      <c r="CJ42" s="103">
        <f>BN38</f>
        <v>0.79999999999999993</v>
      </c>
      <c r="CK42" s="103">
        <f t="shared" si="68"/>
        <v>0.89999999999999991</v>
      </c>
      <c r="CL42" s="103">
        <f>BN56</f>
        <v>0</v>
      </c>
      <c r="CM42" s="104">
        <f>BR56</f>
        <v>0.10000000000000003</v>
      </c>
    </row>
    <row r="43" spans="1:101" ht="15.75" thickBot="1" x14ac:dyDescent="0.3">
      <c r="A43" s="42" t="s">
        <v>118</v>
      </c>
      <c r="B43" s="4" t="s">
        <v>10</v>
      </c>
      <c r="C43" s="5">
        <v>107</v>
      </c>
      <c r="D43" s="5">
        <v>46</v>
      </c>
      <c r="E43" s="5">
        <v>1</v>
      </c>
      <c r="F43" s="26">
        <v>3</v>
      </c>
      <c r="H43" s="42" t="s">
        <v>10</v>
      </c>
      <c r="I43" s="4" t="s">
        <v>119</v>
      </c>
      <c r="J43" s="5">
        <v>143</v>
      </c>
      <c r="K43" s="5">
        <v>56</v>
      </c>
      <c r="L43" s="5">
        <v>9</v>
      </c>
      <c r="M43" s="5">
        <v>6</v>
      </c>
      <c r="N43" s="4" t="s">
        <v>120</v>
      </c>
      <c r="O43" s="5">
        <v>108</v>
      </c>
      <c r="P43" s="5">
        <v>54</v>
      </c>
      <c r="Q43" s="5">
        <v>4</v>
      </c>
      <c r="R43" s="26">
        <v>6</v>
      </c>
      <c r="AL43" s="42" t="s">
        <v>10</v>
      </c>
      <c r="AM43" s="46">
        <f t="shared" si="72"/>
        <v>0.65594855305466238</v>
      </c>
      <c r="AN43" s="47">
        <f t="shared" si="73"/>
        <v>0.25988700564971751</v>
      </c>
      <c r="AO43" s="47">
        <f t="shared" si="74"/>
        <v>3.8461538461538464E-2</v>
      </c>
      <c r="AP43" s="86">
        <f t="shared" si="75"/>
        <v>0.66666666666666663</v>
      </c>
      <c r="AR43" s="42" t="s">
        <v>10</v>
      </c>
      <c r="AS43">
        <v>4</v>
      </c>
      <c r="AT43" s="48">
        <v>0.54019292604501612</v>
      </c>
      <c r="AU43" s="48">
        <v>0.31638418079096048</v>
      </c>
      <c r="AV43" s="48">
        <v>0.65384615384615385</v>
      </c>
      <c r="AW43" s="48">
        <v>0.66666666666666663</v>
      </c>
      <c r="AX43">
        <v>5</v>
      </c>
      <c r="AY43" s="48">
        <v>0.65273311897106112</v>
      </c>
      <c r="AZ43" s="48">
        <v>0.30508474576271188</v>
      </c>
      <c r="BA43" s="48">
        <v>0.84615384615384615</v>
      </c>
      <c r="BB43" s="49">
        <v>0.66666666666666663</v>
      </c>
      <c r="BC43" s="48"/>
      <c r="BD43" s="42" t="s">
        <v>10</v>
      </c>
      <c r="BE43" s="46">
        <f t="shared" si="10"/>
        <v>0.34405144694533762</v>
      </c>
      <c r="BF43" s="47">
        <f t="shared" si="11"/>
        <v>0.74011299435028244</v>
      </c>
      <c r="BG43" s="47">
        <f t="shared" si="12"/>
        <v>0.96153846153846156</v>
      </c>
      <c r="BH43" s="86">
        <f t="shared" si="13"/>
        <v>0.33333333333333337</v>
      </c>
      <c r="BI43" s="48"/>
      <c r="BJ43" s="42" t="s">
        <v>4</v>
      </c>
      <c r="BK43" s="13">
        <f t="shared" si="78"/>
        <v>4.010695187165772E-2</v>
      </c>
      <c r="BL43" s="13">
        <f t="shared" si="79"/>
        <v>0.80208333333333326</v>
      </c>
      <c r="BM43" s="13">
        <f t="shared" si="80"/>
        <v>0.85714285714285721</v>
      </c>
      <c r="BN43" s="13">
        <f t="shared" si="81"/>
        <v>0</v>
      </c>
      <c r="BO43" s="13">
        <f t="shared" si="82"/>
        <v>0.20855614973262038</v>
      </c>
      <c r="BP43" s="13">
        <f t="shared" si="83"/>
        <v>0.88020833333333326</v>
      </c>
      <c r="BQ43" s="13">
        <f t="shared" si="84"/>
        <v>0.9285714285714286</v>
      </c>
      <c r="BR43" s="13">
        <f t="shared" si="85"/>
        <v>0.1818181818181818</v>
      </c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</row>
    <row r="44" spans="1:101" ht="15.75" thickBot="1" x14ac:dyDescent="0.3">
      <c r="A44" s="42" t="s">
        <v>118</v>
      </c>
      <c r="B44" s="4" t="s">
        <v>11</v>
      </c>
      <c r="C44" s="5">
        <v>3</v>
      </c>
      <c r="D44" s="5">
        <v>86</v>
      </c>
      <c r="E44" s="5">
        <v>0</v>
      </c>
      <c r="F44" s="26">
        <v>0</v>
      </c>
      <c r="H44" s="42" t="s">
        <v>11</v>
      </c>
      <c r="I44" s="4" t="s">
        <v>119</v>
      </c>
      <c r="J44" s="5">
        <v>1</v>
      </c>
      <c r="K44" s="5">
        <v>112</v>
      </c>
      <c r="L44" s="5">
        <v>0</v>
      </c>
      <c r="M44" s="5">
        <v>0</v>
      </c>
      <c r="N44" s="4" t="s">
        <v>120</v>
      </c>
      <c r="O44" s="5">
        <v>3</v>
      </c>
      <c r="P44" s="5">
        <v>72</v>
      </c>
      <c r="Q44" s="5">
        <v>0</v>
      </c>
      <c r="R44" s="26">
        <v>0</v>
      </c>
      <c r="AL44" s="42" t="s">
        <v>11</v>
      </c>
      <c r="AM44" s="46">
        <f t="shared" si="72"/>
        <v>0.99035369774919613</v>
      </c>
      <c r="AN44" s="47">
        <f t="shared" si="73"/>
        <v>0.48587570621468928</v>
      </c>
      <c r="AO44" s="47">
        <f t="shared" si="74"/>
        <v>0</v>
      </c>
      <c r="AP44" s="86">
        <f t="shared" si="75"/>
        <v>1</v>
      </c>
      <c r="AR44" s="42" t="s">
        <v>11</v>
      </c>
      <c r="AS44">
        <v>4</v>
      </c>
      <c r="AT44" s="48">
        <v>0.99678456591639875</v>
      </c>
      <c r="AU44" s="48">
        <v>0.63276836158192096</v>
      </c>
      <c r="AV44" s="48">
        <v>1</v>
      </c>
      <c r="AW44" s="48">
        <v>0</v>
      </c>
      <c r="AX44">
        <v>5</v>
      </c>
      <c r="AY44" s="48">
        <v>0.99035369774919613</v>
      </c>
      <c r="AZ44" s="48">
        <v>0.40677966101694918</v>
      </c>
      <c r="BA44" s="48">
        <v>1</v>
      </c>
      <c r="BB44" s="49">
        <v>0</v>
      </c>
      <c r="BC44" s="48"/>
      <c r="BD44" s="42" t="s">
        <v>11</v>
      </c>
      <c r="BE44" s="46">
        <f t="shared" si="10"/>
        <v>9.6463022508038732E-3</v>
      </c>
      <c r="BF44" s="47">
        <f t="shared" si="11"/>
        <v>0.51412429378531077</v>
      </c>
      <c r="BG44" s="47">
        <f t="shared" si="12"/>
        <v>1</v>
      </c>
      <c r="BH44" s="86">
        <f t="shared" si="13"/>
        <v>0</v>
      </c>
      <c r="BI44" s="48"/>
      <c r="BJ44" s="42" t="s">
        <v>5</v>
      </c>
      <c r="BK44" s="13">
        <f t="shared" si="78"/>
        <v>1.4705882352941129E-2</v>
      </c>
      <c r="BL44" s="13">
        <f t="shared" si="79"/>
        <v>0.375</v>
      </c>
      <c r="BM44" s="13">
        <f t="shared" si="80"/>
        <v>0.85714285714285721</v>
      </c>
      <c r="BN44" s="13">
        <f t="shared" si="81"/>
        <v>0</v>
      </c>
      <c r="BO44" s="13">
        <f t="shared" si="82"/>
        <v>0.1</v>
      </c>
      <c r="BP44" s="13">
        <f t="shared" si="83"/>
        <v>0.63750000000000007</v>
      </c>
      <c r="BQ44" s="13">
        <f t="shared" si="84"/>
        <v>0.9285714285714286</v>
      </c>
      <c r="BR44" s="13">
        <f t="shared" si="85"/>
        <v>0.1818181818181818</v>
      </c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</row>
    <row r="45" spans="1:101" ht="15.75" thickBot="1" x14ac:dyDescent="0.3">
      <c r="A45" s="42" t="s">
        <v>118</v>
      </c>
      <c r="B45" s="4" t="s">
        <v>12</v>
      </c>
      <c r="C45" s="5">
        <v>23</v>
      </c>
      <c r="D45" s="5">
        <v>37</v>
      </c>
      <c r="E45" s="5">
        <v>4</v>
      </c>
      <c r="F45" s="26">
        <v>1</v>
      </c>
      <c r="H45" s="42" t="s">
        <v>12</v>
      </c>
      <c r="I45" s="4" t="s">
        <v>119</v>
      </c>
      <c r="J45" s="5">
        <v>19</v>
      </c>
      <c r="K45" s="5">
        <v>74</v>
      </c>
      <c r="L45" s="5">
        <v>6</v>
      </c>
      <c r="M45" s="5">
        <v>2</v>
      </c>
      <c r="N45" s="4" t="s">
        <v>120</v>
      </c>
      <c r="O45" s="5">
        <v>9</v>
      </c>
      <c r="P45" s="5">
        <v>38</v>
      </c>
      <c r="Q45" s="5">
        <v>1</v>
      </c>
      <c r="R45" s="26">
        <v>1</v>
      </c>
      <c r="V45" s="13">
        <f>40/174</f>
        <v>0.22988505747126436</v>
      </c>
      <c r="Z45" s="13">
        <f>V45</f>
        <v>0.22988505747126436</v>
      </c>
      <c r="AL45" s="42" t="s">
        <v>12</v>
      </c>
      <c r="AM45" s="46">
        <f t="shared" si="72"/>
        <v>0.92604501607717038</v>
      </c>
      <c r="AN45" s="47">
        <f t="shared" si="73"/>
        <v>0.20903954802259886</v>
      </c>
      <c r="AO45" s="47">
        <f t="shared" si="74"/>
        <v>0.15384615384615385</v>
      </c>
      <c r="AP45" s="86">
        <f t="shared" si="75"/>
        <v>0.88888888888888884</v>
      </c>
      <c r="AR45" s="42" t="s">
        <v>12</v>
      </c>
      <c r="AS45">
        <v>4</v>
      </c>
      <c r="AT45" s="48">
        <v>0.93890675241157562</v>
      </c>
      <c r="AU45" s="48">
        <v>0.41807909604519772</v>
      </c>
      <c r="AV45" s="48">
        <v>0.76923076923076927</v>
      </c>
      <c r="AW45" s="48">
        <v>0.22222222222222221</v>
      </c>
      <c r="AX45">
        <v>5</v>
      </c>
      <c r="AY45" s="48">
        <v>0.97106109324758838</v>
      </c>
      <c r="AZ45" s="48">
        <v>0.21468926553672316</v>
      </c>
      <c r="BA45" s="48">
        <v>0.96153846153846156</v>
      </c>
      <c r="BB45" s="49">
        <v>0.1111111111111111</v>
      </c>
      <c r="BC45" s="48"/>
      <c r="BD45" s="42" t="s">
        <v>12</v>
      </c>
      <c r="BE45" s="46">
        <f t="shared" si="10"/>
        <v>7.395498392282962E-2</v>
      </c>
      <c r="BF45" s="47">
        <f t="shared" si="11"/>
        <v>0.79096045197740117</v>
      </c>
      <c r="BG45" s="47">
        <f t="shared" si="12"/>
        <v>0.84615384615384615</v>
      </c>
      <c r="BH45" s="86">
        <f t="shared" si="13"/>
        <v>0.11111111111111116</v>
      </c>
      <c r="BI45" s="48"/>
      <c r="BJ45" s="42" t="s">
        <v>6</v>
      </c>
      <c r="BK45" s="13">
        <f t="shared" si="78"/>
        <v>5.7471264367816119E-2</v>
      </c>
      <c r="BL45" s="13">
        <f t="shared" si="79"/>
        <v>0.23605150214592277</v>
      </c>
      <c r="BM45" s="13">
        <f t="shared" si="80"/>
        <v>0.79310344827586199</v>
      </c>
      <c r="BN45" s="13">
        <f t="shared" si="81"/>
        <v>0</v>
      </c>
      <c r="BO45" s="13">
        <f t="shared" si="82"/>
        <v>0.16379310344827583</v>
      </c>
      <c r="BP45" s="13">
        <f t="shared" si="83"/>
        <v>0.47639484978540775</v>
      </c>
      <c r="BQ45" s="13">
        <f t="shared" si="84"/>
        <v>0.89655172413793105</v>
      </c>
      <c r="BR45" s="13">
        <f t="shared" si="85"/>
        <v>0.1818181818181818</v>
      </c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</row>
    <row r="46" spans="1:101" ht="15.75" thickBot="1" x14ac:dyDescent="0.3">
      <c r="A46" s="42" t="s">
        <v>118</v>
      </c>
      <c r="B46" s="4" t="s">
        <v>13</v>
      </c>
      <c r="C46" s="5">
        <v>11</v>
      </c>
      <c r="D46" s="5">
        <v>67</v>
      </c>
      <c r="E46" s="5">
        <v>0</v>
      </c>
      <c r="F46" s="26">
        <v>1</v>
      </c>
      <c r="H46" s="42" t="s">
        <v>13</v>
      </c>
      <c r="I46" s="4" t="s">
        <v>119</v>
      </c>
      <c r="J46" s="5">
        <v>19</v>
      </c>
      <c r="K46" s="5">
        <v>112</v>
      </c>
      <c r="L46" s="5">
        <v>3</v>
      </c>
      <c r="M46" s="5">
        <v>1</v>
      </c>
      <c r="N46" s="4" t="s">
        <v>120</v>
      </c>
      <c r="O46" s="5">
        <v>20</v>
      </c>
      <c r="P46" s="5">
        <v>60</v>
      </c>
      <c r="Q46" s="5">
        <v>2</v>
      </c>
      <c r="R46" s="26">
        <v>5</v>
      </c>
      <c r="Z46" s="13">
        <f>66/174</f>
        <v>0.37931034482758619</v>
      </c>
      <c r="AL46" s="42" t="s">
        <v>13</v>
      </c>
      <c r="AM46" s="46">
        <f t="shared" si="72"/>
        <v>0.96463022508038587</v>
      </c>
      <c r="AN46" s="47">
        <f t="shared" si="73"/>
        <v>0.37853107344632769</v>
      </c>
      <c r="AO46" s="47">
        <f t="shared" si="74"/>
        <v>0</v>
      </c>
      <c r="AP46" s="86">
        <f t="shared" si="75"/>
        <v>0.88888888888888884</v>
      </c>
      <c r="AR46" s="42" t="s">
        <v>13</v>
      </c>
      <c r="AS46">
        <v>4</v>
      </c>
      <c r="AT46" s="48">
        <v>0.93890675241157562</v>
      </c>
      <c r="AU46" s="48">
        <v>0.63276836158192096</v>
      </c>
      <c r="AV46" s="48">
        <v>0.88461538461538458</v>
      </c>
      <c r="AW46" s="48">
        <v>0.1111111111111111</v>
      </c>
      <c r="AX46">
        <v>5</v>
      </c>
      <c r="AY46" s="48">
        <v>0.93569131832797425</v>
      </c>
      <c r="AZ46" s="48">
        <v>0.33898305084745761</v>
      </c>
      <c r="BA46" s="48">
        <v>0.92307692307692313</v>
      </c>
      <c r="BB46" s="49">
        <v>0.55555555555555558</v>
      </c>
      <c r="BC46" s="48"/>
      <c r="BD46" s="42" t="s">
        <v>13</v>
      </c>
      <c r="BE46" s="46">
        <f t="shared" si="10"/>
        <v>3.5369774919614128E-2</v>
      </c>
      <c r="BF46" s="47">
        <f t="shared" si="11"/>
        <v>0.62146892655367236</v>
      </c>
      <c r="BG46" s="47">
        <f t="shared" si="12"/>
        <v>1</v>
      </c>
      <c r="BH46" s="86">
        <f t="shared" si="13"/>
        <v>0.11111111111111116</v>
      </c>
      <c r="BI46" s="48"/>
      <c r="BJ46" s="42" t="s">
        <v>8</v>
      </c>
      <c r="BK46" s="13">
        <f t="shared" si="78"/>
        <v>2.9498525073746323E-2</v>
      </c>
      <c r="BL46" s="13">
        <f t="shared" si="79"/>
        <v>0.55825242718446599</v>
      </c>
      <c r="BM46" s="13">
        <f t="shared" si="80"/>
        <v>0.85714285714285721</v>
      </c>
      <c r="BN46" s="13">
        <f t="shared" si="81"/>
        <v>0</v>
      </c>
      <c r="BO46" s="13">
        <f t="shared" si="82"/>
        <v>0.11209439528023599</v>
      </c>
      <c r="BP46" s="13">
        <f t="shared" si="83"/>
        <v>0.69902912621359214</v>
      </c>
      <c r="BQ46" s="13">
        <f t="shared" si="84"/>
        <v>0.9285714285714286</v>
      </c>
      <c r="BR46" s="13">
        <f t="shared" si="85"/>
        <v>0.25</v>
      </c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</row>
    <row r="47" spans="1:101" ht="15.75" thickBot="1" x14ac:dyDescent="0.3">
      <c r="A47" s="42" t="s">
        <v>118</v>
      </c>
      <c r="B47" s="4" t="s">
        <v>14</v>
      </c>
      <c r="C47" s="5">
        <v>33</v>
      </c>
      <c r="D47" s="5">
        <v>74</v>
      </c>
      <c r="E47" s="5">
        <v>1</v>
      </c>
      <c r="F47" s="26">
        <v>1</v>
      </c>
      <c r="H47" s="42" t="s">
        <v>14</v>
      </c>
      <c r="I47" s="4" t="s">
        <v>119</v>
      </c>
      <c r="J47" s="5">
        <v>62</v>
      </c>
      <c r="K47" s="5">
        <v>69</v>
      </c>
      <c r="L47" s="5">
        <v>1</v>
      </c>
      <c r="M47" s="5">
        <v>2</v>
      </c>
      <c r="N47" s="4" t="s">
        <v>120</v>
      </c>
      <c r="O47" s="5">
        <v>52</v>
      </c>
      <c r="P47" s="5">
        <v>90</v>
      </c>
      <c r="Q47" s="5">
        <v>1</v>
      </c>
      <c r="R47" s="26">
        <v>6</v>
      </c>
      <c r="AL47" s="42" t="s">
        <v>14</v>
      </c>
      <c r="AM47" s="46">
        <f t="shared" si="72"/>
        <v>0.89389067524115751</v>
      </c>
      <c r="AN47" s="47">
        <f t="shared" si="73"/>
        <v>0.41807909604519772</v>
      </c>
      <c r="AO47" s="47">
        <f t="shared" si="74"/>
        <v>3.8461538461538464E-2</v>
      </c>
      <c r="AP47" s="86">
        <f t="shared" si="75"/>
        <v>0.88888888888888884</v>
      </c>
      <c r="AR47" s="42" t="s">
        <v>14</v>
      </c>
      <c r="AS47">
        <v>4</v>
      </c>
      <c r="AT47" s="48">
        <v>0.80064308681672025</v>
      </c>
      <c r="AU47" s="48">
        <v>0.38983050847457629</v>
      </c>
      <c r="AV47" s="48">
        <v>0.96153846153846156</v>
      </c>
      <c r="AW47" s="48">
        <v>0.22222222222222221</v>
      </c>
      <c r="AX47">
        <v>5</v>
      </c>
      <c r="AY47" s="48">
        <v>0.83279742765273312</v>
      </c>
      <c r="AZ47" s="48">
        <v>0.50847457627118642</v>
      </c>
      <c r="BA47" s="48">
        <v>0.96153846153846156</v>
      </c>
      <c r="BB47" s="49">
        <v>0.66666666666666663</v>
      </c>
      <c r="BC47" s="48"/>
      <c r="BD47" s="42" t="s">
        <v>14</v>
      </c>
      <c r="BE47" s="46">
        <f t="shared" si="10"/>
        <v>0.10610932475884249</v>
      </c>
      <c r="BF47" s="47">
        <f t="shared" si="11"/>
        <v>0.58192090395480234</v>
      </c>
      <c r="BG47" s="47">
        <f t="shared" si="12"/>
        <v>0.96153846153846156</v>
      </c>
      <c r="BH47" s="86">
        <f t="shared" si="13"/>
        <v>0.11111111111111116</v>
      </c>
      <c r="BI47" s="48"/>
      <c r="BJ47" s="42" t="s">
        <v>9</v>
      </c>
      <c r="BK47" s="13">
        <f t="shared" si="78"/>
        <v>4.9140049140049158E-2</v>
      </c>
      <c r="BL47" s="13">
        <f t="shared" si="79"/>
        <v>0</v>
      </c>
      <c r="BM47" s="13">
        <f t="shared" si="80"/>
        <v>0.79310344827586199</v>
      </c>
      <c r="BN47" s="13">
        <f t="shared" si="81"/>
        <v>0</v>
      </c>
      <c r="BO47" s="13">
        <f t="shared" si="82"/>
        <v>0.28501228501228504</v>
      </c>
      <c r="BP47" s="13">
        <f t="shared" si="83"/>
        <v>0.46200607902735558</v>
      </c>
      <c r="BQ47" s="13">
        <f t="shared" si="84"/>
        <v>0.89655172413793105</v>
      </c>
      <c r="BR47" s="13">
        <f t="shared" si="85"/>
        <v>0.5</v>
      </c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</row>
    <row r="48" spans="1:101" ht="15.75" thickBot="1" x14ac:dyDescent="0.3">
      <c r="A48" s="42" t="s">
        <v>118</v>
      </c>
      <c r="B48" s="4" t="s">
        <v>15</v>
      </c>
      <c r="C48" s="5">
        <v>10</v>
      </c>
      <c r="D48" s="5">
        <v>48</v>
      </c>
      <c r="E48" s="5">
        <v>3</v>
      </c>
      <c r="F48" s="26">
        <v>1</v>
      </c>
      <c r="H48" s="42" t="s">
        <v>15</v>
      </c>
      <c r="I48" s="4" t="s">
        <v>119</v>
      </c>
      <c r="J48" s="5">
        <v>4</v>
      </c>
      <c r="K48" s="5">
        <v>75</v>
      </c>
      <c r="L48" s="5">
        <v>0</v>
      </c>
      <c r="M48" s="5">
        <v>0</v>
      </c>
      <c r="N48" s="4" t="s">
        <v>120</v>
      </c>
      <c r="O48" s="5">
        <v>10</v>
      </c>
      <c r="P48" s="5">
        <v>31</v>
      </c>
      <c r="Q48" s="5">
        <v>2</v>
      </c>
      <c r="R48" s="26">
        <v>1</v>
      </c>
      <c r="AL48" s="42" t="s">
        <v>15</v>
      </c>
      <c r="AM48" s="46">
        <f t="shared" si="72"/>
        <v>0.96784565916398713</v>
      </c>
      <c r="AN48" s="47">
        <f t="shared" si="73"/>
        <v>0.2711864406779661</v>
      </c>
      <c r="AO48" s="47">
        <f t="shared" si="74"/>
        <v>0.11538461538461539</v>
      </c>
      <c r="AP48" s="86">
        <f t="shared" si="75"/>
        <v>0.88888888888888884</v>
      </c>
      <c r="AR48" s="42" t="s">
        <v>15</v>
      </c>
      <c r="AS48">
        <v>4</v>
      </c>
      <c r="AT48" s="48">
        <v>0.98713826366559487</v>
      </c>
      <c r="AU48" s="48">
        <v>0.42372881355932202</v>
      </c>
      <c r="AV48" s="48">
        <v>1</v>
      </c>
      <c r="AW48" s="48">
        <v>0</v>
      </c>
      <c r="AX48">
        <v>5</v>
      </c>
      <c r="AY48" s="48">
        <v>0.96784565916398713</v>
      </c>
      <c r="AZ48" s="48">
        <v>0.1751412429378531</v>
      </c>
      <c r="BA48" s="48">
        <v>0.92307692307692313</v>
      </c>
      <c r="BB48" s="49">
        <v>0.1111111111111111</v>
      </c>
      <c r="BC48" s="48"/>
      <c r="BD48" s="42" t="s">
        <v>15</v>
      </c>
      <c r="BE48" s="46">
        <f t="shared" si="10"/>
        <v>3.2154340836012874E-2</v>
      </c>
      <c r="BF48" s="47">
        <f t="shared" si="11"/>
        <v>0.72881355932203395</v>
      </c>
      <c r="BG48" s="47">
        <f t="shared" si="12"/>
        <v>0.88461538461538458</v>
      </c>
      <c r="BH48" s="86">
        <f t="shared" si="13"/>
        <v>0.11111111111111116</v>
      </c>
      <c r="BI48" s="48"/>
      <c r="BJ48" s="42" t="s">
        <v>10</v>
      </c>
      <c r="BK48" s="13">
        <f t="shared" si="78"/>
        <v>9.1346153846153855E-2</v>
      </c>
      <c r="BL48" s="13">
        <f t="shared" si="79"/>
        <v>0.59605911330049266</v>
      </c>
      <c r="BM48" s="13">
        <f t="shared" si="80"/>
        <v>0.5</v>
      </c>
      <c r="BN48" s="13">
        <f t="shared" si="81"/>
        <v>0.15384615384615383</v>
      </c>
      <c r="BO48" s="13">
        <f t="shared" si="82"/>
        <v>0.34375</v>
      </c>
      <c r="BP48" s="13">
        <f t="shared" si="83"/>
        <v>0.72413793103448276</v>
      </c>
      <c r="BQ48" s="13">
        <f t="shared" si="84"/>
        <v>0.73529411764705888</v>
      </c>
      <c r="BR48" s="13">
        <f t="shared" si="85"/>
        <v>0.46153846153846151</v>
      </c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</row>
    <row r="49" spans="1:82" ht="15.75" thickBot="1" x14ac:dyDescent="0.3">
      <c r="A49" s="42" t="s">
        <v>118</v>
      </c>
      <c r="B49" s="4" t="s">
        <v>16</v>
      </c>
      <c r="C49" s="5">
        <v>133</v>
      </c>
      <c r="D49" s="5">
        <v>57</v>
      </c>
      <c r="E49" s="5">
        <v>14</v>
      </c>
      <c r="F49" s="26">
        <v>3</v>
      </c>
      <c r="H49" s="42" t="s">
        <v>16</v>
      </c>
      <c r="I49" s="4" t="s">
        <v>119</v>
      </c>
      <c r="J49" s="5">
        <v>96</v>
      </c>
      <c r="K49" s="5">
        <v>85</v>
      </c>
      <c r="L49" s="5">
        <v>1</v>
      </c>
      <c r="M49" s="5">
        <v>4</v>
      </c>
      <c r="N49" s="4" t="s">
        <v>120</v>
      </c>
      <c r="O49" s="5">
        <v>79</v>
      </c>
      <c r="P49" s="5">
        <v>52</v>
      </c>
      <c r="Q49" s="5">
        <v>15</v>
      </c>
      <c r="R49" s="26">
        <v>9</v>
      </c>
      <c r="AL49" s="42" t="s">
        <v>16</v>
      </c>
      <c r="AM49" s="46">
        <f t="shared" si="72"/>
        <v>0.57234726688102899</v>
      </c>
      <c r="AN49" s="47">
        <f t="shared" si="73"/>
        <v>0.32203389830508472</v>
      </c>
      <c r="AO49" s="47">
        <f t="shared" si="74"/>
        <v>0.53846153846153844</v>
      </c>
      <c r="AP49" s="86">
        <f t="shared" si="75"/>
        <v>0.66666666666666663</v>
      </c>
      <c r="AR49" s="42" t="s">
        <v>16</v>
      </c>
      <c r="AS49">
        <v>4</v>
      </c>
      <c r="AT49" s="48">
        <v>0.6913183279742765</v>
      </c>
      <c r="AU49" s="48">
        <v>0.48022598870056499</v>
      </c>
      <c r="AV49" s="48">
        <v>0.96153846153846156</v>
      </c>
      <c r="AW49" s="48">
        <v>0.44444444444444442</v>
      </c>
      <c r="AX49">
        <v>5</v>
      </c>
      <c r="AY49" s="48">
        <v>0.74598070739549838</v>
      </c>
      <c r="AZ49" s="48">
        <v>0.29378531073446329</v>
      </c>
      <c r="BA49" s="48">
        <v>0.42307692307692307</v>
      </c>
      <c r="BB49" s="49">
        <v>1</v>
      </c>
      <c r="BC49" s="48"/>
      <c r="BD49" s="42" t="s">
        <v>16</v>
      </c>
      <c r="BE49" s="46">
        <f t="shared" si="10"/>
        <v>0.42765273311897101</v>
      </c>
      <c r="BF49" s="47">
        <f t="shared" si="11"/>
        <v>0.67796610169491522</v>
      </c>
      <c r="BG49" s="47">
        <f t="shared" si="12"/>
        <v>0.46153846153846156</v>
      </c>
      <c r="BH49" s="86">
        <f t="shared" si="13"/>
        <v>0.33333333333333337</v>
      </c>
      <c r="BI49" s="48"/>
      <c r="BJ49" s="42" t="s">
        <v>11</v>
      </c>
      <c r="BK49" s="13">
        <f t="shared" si="78"/>
        <v>0</v>
      </c>
      <c r="BL49" s="13">
        <f t="shared" si="79"/>
        <v>0.29147982062780264</v>
      </c>
      <c r="BM49" s="13">
        <f t="shared" si="80"/>
        <v>1</v>
      </c>
      <c r="BN49" s="13">
        <f t="shared" si="81"/>
        <v>0</v>
      </c>
      <c r="BO49" s="13">
        <f t="shared" si="82"/>
        <v>9.5541401273885485E-3</v>
      </c>
      <c r="BP49" s="13">
        <f t="shared" si="83"/>
        <v>0.49775784753363228</v>
      </c>
      <c r="BQ49" s="13">
        <f t="shared" si="84"/>
        <v>1</v>
      </c>
      <c r="BR49" s="13">
        <f t="shared" si="85"/>
        <v>0</v>
      </c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</row>
    <row r="50" spans="1:82" ht="15.75" thickBot="1" x14ac:dyDescent="0.3">
      <c r="A50" s="42" t="s">
        <v>118</v>
      </c>
      <c r="B50" s="4" t="s">
        <v>17</v>
      </c>
      <c r="C50" s="5">
        <v>18</v>
      </c>
      <c r="D50" s="5">
        <v>9</v>
      </c>
      <c r="E50" s="5">
        <v>0</v>
      </c>
      <c r="F50" s="26">
        <v>1</v>
      </c>
      <c r="H50" s="42" t="s">
        <v>17</v>
      </c>
      <c r="I50" s="4" t="s">
        <v>119</v>
      </c>
      <c r="J50" s="5">
        <v>26</v>
      </c>
      <c r="K50" s="5">
        <v>53</v>
      </c>
      <c r="L50" s="5">
        <v>0</v>
      </c>
      <c r="M50" s="5">
        <v>2</v>
      </c>
      <c r="N50" s="4" t="s">
        <v>120</v>
      </c>
      <c r="O50" s="5">
        <v>12</v>
      </c>
      <c r="P50" s="5">
        <v>31</v>
      </c>
      <c r="Q50" s="5">
        <v>1</v>
      </c>
      <c r="R50" s="26">
        <v>0</v>
      </c>
      <c r="AL50" s="42" t="s">
        <v>17</v>
      </c>
      <c r="AM50" s="46">
        <f t="shared" si="72"/>
        <v>0.94212218649517687</v>
      </c>
      <c r="AN50" s="47">
        <f t="shared" si="73"/>
        <v>5.0847457627118647E-2</v>
      </c>
      <c r="AO50" s="47">
        <f t="shared" si="74"/>
        <v>0</v>
      </c>
      <c r="AP50" s="86">
        <f t="shared" si="75"/>
        <v>0.88888888888888884</v>
      </c>
      <c r="AR50" s="42" t="s">
        <v>17</v>
      </c>
      <c r="AS50">
        <v>4</v>
      </c>
      <c r="AT50" s="48">
        <v>0.91639871382636651</v>
      </c>
      <c r="AU50" s="48">
        <v>0.29943502824858759</v>
      </c>
      <c r="AV50" s="48">
        <v>1</v>
      </c>
      <c r="AW50" s="48">
        <v>0.22222222222222221</v>
      </c>
      <c r="AX50">
        <v>5</v>
      </c>
      <c r="AY50" s="48">
        <v>0.96141479099678462</v>
      </c>
      <c r="AZ50" s="48">
        <v>0.1751412429378531</v>
      </c>
      <c r="BA50" s="48">
        <v>0.96153846153846156</v>
      </c>
      <c r="BB50" s="49">
        <v>0</v>
      </c>
      <c r="BC50" s="48"/>
      <c r="BD50" s="42" t="s">
        <v>17</v>
      </c>
      <c r="BE50" s="46">
        <f t="shared" si="10"/>
        <v>5.7877813504823128E-2</v>
      </c>
      <c r="BF50" s="47">
        <f t="shared" si="11"/>
        <v>0.94915254237288138</v>
      </c>
      <c r="BG50" s="47">
        <f t="shared" si="12"/>
        <v>1</v>
      </c>
      <c r="BH50" s="86">
        <f t="shared" si="13"/>
        <v>0.11111111111111116</v>
      </c>
      <c r="BI50" s="48"/>
      <c r="BJ50" s="42" t="s">
        <v>12</v>
      </c>
      <c r="BK50" s="13">
        <f t="shared" si="78"/>
        <v>1.4681892332789581E-2</v>
      </c>
      <c r="BL50" s="13">
        <f t="shared" si="79"/>
        <v>0.44978165938864634</v>
      </c>
      <c r="BM50" s="13">
        <f t="shared" si="80"/>
        <v>0.24390243902439018</v>
      </c>
      <c r="BN50" s="13">
        <f t="shared" si="81"/>
        <v>0</v>
      </c>
      <c r="BO50" s="13">
        <f t="shared" si="82"/>
        <v>0.5073409461663948</v>
      </c>
      <c r="BP50" s="13">
        <f t="shared" si="83"/>
        <v>0.67685589519650657</v>
      </c>
      <c r="BQ50" s="13">
        <f t="shared" si="84"/>
        <v>0.6097560975609756</v>
      </c>
      <c r="BR50" s="13">
        <f t="shared" si="85"/>
        <v>0.43750000000000006</v>
      </c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</row>
    <row r="51" spans="1:82" ht="15.75" thickBot="1" x14ac:dyDescent="0.3">
      <c r="A51" s="61" t="s">
        <v>118</v>
      </c>
      <c r="B51" s="65" t="s">
        <v>21</v>
      </c>
      <c r="C51" s="27">
        <v>1</v>
      </c>
      <c r="D51" s="27">
        <v>0</v>
      </c>
      <c r="E51" s="27">
        <v>0</v>
      </c>
      <c r="F51" s="28">
        <v>0</v>
      </c>
      <c r="H51" s="61" t="s">
        <v>21</v>
      </c>
      <c r="I51" s="65" t="s">
        <v>119</v>
      </c>
      <c r="J51" s="27">
        <v>0</v>
      </c>
      <c r="K51" s="27">
        <v>53</v>
      </c>
      <c r="L51" s="27">
        <v>7</v>
      </c>
      <c r="M51" s="27">
        <v>0</v>
      </c>
      <c r="N51" s="65" t="s">
        <v>120</v>
      </c>
      <c r="O51" s="27">
        <v>4</v>
      </c>
      <c r="P51" s="27">
        <v>96</v>
      </c>
      <c r="Q51" s="27">
        <v>8</v>
      </c>
      <c r="R51" s="28">
        <v>1</v>
      </c>
      <c r="AL51" s="79" t="s">
        <v>21</v>
      </c>
      <c r="AM51" s="90">
        <f t="shared" si="72"/>
        <v>0.99678456591639875</v>
      </c>
      <c r="AN51" s="91">
        <f t="shared" si="73"/>
        <v>0</v>
      </c>
      <c r="AO51" s="91">
        <f t="shared" si="74"/>
        <v>0</v>
      </c>
      <c r="AP51" s="92">
        <f t="shared" si="75"/>
        <v>1</v>
      </c>
      <c r="AR51" s="61" t="s">
        <v>21</v>
      </c>
      <c r="AS51" s="21">
        <v>4</v>
      </c>
      <c r="AT51" s="66">
        <v>1</v>
      </c>
      <c r="AU51" s="66">
        <v>0.29943502824858759</v>
      </c>
      <c r="AV51" s="66">
        <v>0.73076923076923073</v>
      </c>
      <c r="AW51" s="66">
        <v>0</v>
      </c>
      <c r="AX51" s="21">
        <v>5</v>
      </c>
      <c r="AY51" s="66">
        <v>0.98713826366559487</v>
      </c>
      <c r="AZ51" s="66">
        <v>0.5423728813559322</v>
      </c>
      <c r="BA51" s="66">
        <v>0.69230769230769229</v>
      </c>
      <c r="BB51" s="67">
        <v>0.1111111111111111</v>
      </c>
      <c r="BC51" s="48"/>
      <c r="BD51" s="79" t="s">
        <v>21</v>
      </c>
      <c r="BE51" s="90">
        <f t="shared" si="10"/>
        <v>3.215434083601254E-3</v>
      </c>
      <c r="BF51" s="91">
        <f t="shared" si="11"/>
        <v>1</v>
      </c>
      <c r="BG51" s="91">
        <f t="shared" si="12"/>
        <v>1</v>
      </c>
      <c r="BH51" s="92">
        <f t="shared" si="13"/>
        <v>0</v>
      </c>
      <c r="BI51" s="48"/>
      <c r="BJ51" s="42" t="s">
        <v>13</v>
      </c>
      <c r="BK51" s="13">
        <f t="shared" si="78"/>
        <v>2.1604938271604934E-2</v>
      </c>
      <c r="BL51" s="13">
        <f t="shared" si="79"/>
        <v>0.25523012552301261</v>
      </c>
      <c r="BM51" s="13">
        <f t="shared" si="80"/>
        <v>0.79310344827586199</v>
      </c>
      <c r="BN51" s="13">
        <f t="shared" si="81"/>
        <v>0</v>
      </c>
      <c r="BO51" s="13">
        <f t="shared" si="82"/>
        <v>6.1728395061728419E-2</v>
      </c>
      <c r="BP51" s="13">
        <f t="shared" si="83"/>
        <v>0.5146443514644351</v>
      </c>
      <c r="BQ51" s="13">
        <f t="shared" si="84"/>
        <v>0.89655172413793105</v>
      </c>
      <c r="BR51" s="13">
        <f t="shared" si="85"/>
        <v>0.35714285714285715</v>
      </c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</row>
    <row r="52" spans="1:82" ht="15.75" thickBot="1" x14ac:dyDescent="0.3">
      <c r="A52" s="42" t="s">
        <v>122</v>
      </c>
      <c r="B52" s="4" t="s">
        <v>1</v>
      </c>
      <c r="C52" s="5">
        <v>10</v>
      </c>
      <c r="D52" s="5">
        <v>88</v>
      </c>
      <c r="E52" s="5">
        <v>1</v>
      </c>
      <c r="F52" s="26">
        <v>2</v>
      </c>
      <c r="H52" s="4"/>
      <c r="AL52" s="39" t="s">
        <v>1</v>
      </c>
      <c r="AM52" s="83">
        <f t="shared" si="72"/>
        <v>0.96784565916398713</v>
      </c>
      <c r="AN52" s="84">
        <f t="shared" si="73"/>
        <v>0.49717514124293788</v>
      </c>
      <c r="AO52" s="84">
        <f t="shared" si="74"/>
        <v>3.8461538461538464E-2</v>
      </c>
      <c r="AP52" s="85">
        <f t="shared" si="75"/>
        <v>0.77777777777777779</v>
      </c>
      <c r="AR52" s="4"/>
      <c r="BD52" s="39" t="s">
        <v>1</v>
      </c>
      <c r="BE52" s="83">
        <f t="shared" si="10"/>
        <v>3.2154340836012874E-2</v>
      </c>
      <c r="BF52" s="84">
        <f t="shared" si="11"/>
        <v>0.50282485875706207</v>
      </c>
      <c r="BG52" s="84">
        <f t="shared" si="12"/>
        <v>0.96153846153846156</v>
      </c>
      <c r="BH52" s="85">
        <f t="shared" si="13"/>
        <v>0.22222222222222221</v>
      </c>
      <c r="BJ52" s="42" t="s">
        <v>14</v>
      </c>
      <c r="BK52" s="13">
        <f t="shared" si="78"/>
        <v>5.9659090909090898E-2</v>
      </c>
      <c r="BL52" s="13">
        <f t="shared" si="79"/>
        <v>0.40092165898617516</v>
      </c>
      <c r="BM52" s="13">
        <f t="shared" si="80"/>
        <v>0.92592592592592582</v>
      </c>
      <c r="BN52" s="13">
        <f t="shared" si="81"/>
        <v>0</v>
      </c>
      <c r="BO52" s="13">
        <f t="shared" si="82"/>
        <v>0.17613636363636365</v>
      </c>
      <c r="BP52" s="13">
        <f t="shared" si="83"/>
        <v>0.58525345622119818</v>
      </c>
      <c r="BQ52" s="13">
        <f t="shared" si="84"/>
        <v>0.96296296296296291</v>
      </c>
      <c r="BR52" s="13">
        <f t="shared" si="85"/>
        <v>0.4</v>
      </c>
    </row>
    <row r="53" spans="1:82" ht="15.75" thickBot="1" x14ac:dyDescent="0.3">
      <c r="A53" s="42" t="s">
        <v>122</v>
      </c>
      <c r="B53" s="4" t="s">
        <v>2</v>
      </c>
      <c r="C53" s="5">
        <v>1</v>
      </c>
      <c r="D53" s="5">
        <v>29</v>
      </c>
      <c r="E53" s="5">
        <v>9</v>
      </c>
      <c r="F53" s="26">
        <v>0</v>
      </c>
      <c r="H53" s="4"/>
      <c r="AL53" s="42" t="s">
        <v>2</v>
      </c>
      <c r="AM53" s="46">
        <f t="shared" si="72"/>
        <v>0.99678456591639875</v>
      </c>
      <c r="AN53" s="47">
        <f t="shared" si="73"/>
        <v>0.16384180790960451</v>
      </c>
      <c r="AO53" s="47">
        <f t="shared" si="74"/>
        <v>0.34615384615384615</v>
      </c>
      <c r="AP53" s="86">
        <f t="shared" si="75"/>
        <v>1</v>
      </c>
      <c r="AR53" s="4"/>
      <c r="BD53" s="42" t="s">
        <v>2</v>
      </c>
      <c r="BE53" s="46">
        <f t="shared" si="10"/>
        <v>3.215434083601254E-3</v>
      </c>
      <c r="BF53" s="47">
        <f t="shared" si="11"/>
        <v>0.83615819209039555</v>
      </c>
      <c r="BG53" s="47">
        <f t="shared" si="12"/>
        <v>0.65384615384615385</v>
      </c>
      <c r="BH53" s="86">
        <f t="shared" si="13"/>
        <v>0</v>
      </c>
      <c r="BJ53" s="42" t="s">
        <v>15</v>
      </c>
      <c r="BK53" s="13">
        <f t="shared" si="78"/>
        <v>9.4339622641509569E-3</v>
      </c>
      <c r="BL53" s="13">
        <f t="shared" si="79"/>
        <v>0.4358974358974359</v>
      </c>
      <c r="BM53" s="13">
        <f t="shared" si="80"/>
        <v>0.79310344827586199</v>
      </c>
      <c r="BN53" s="13">
        <f t="shared" si="81"/>
        <v>0</v>
      </c>
      <c r="BO53" s="13">
        <f t="shared" si="82"/>
        <v>3.1446540880503158E-2</v>
      </c>
      <c r="BP53" s="13">
        <f t="shared" si="83"/>
        <v>0.67948717948717952</v>
      </c>
      <c r="BQ53" s="13">
        <f t="shared" si="84"/>
        <v>0.89655172413793105</v>
      </c>
      <c r="BR53" s="13">
        <f t="shared" si="85"/>
        <v>0.1818181818181818</v>
      </c>
    </row>
    <row r="54" spans="1:82" ht="15.75" thickBot="1" x14ac:dyDescent="0.3">
      <c r="A54" s="42" t="s">
        <v>122</v>
      </c>
      <c r="B54" s="4" t="s">
        <v>4</v>
      </c>
      <c r="C54" s="5">
        <v>20</v>
      </c>
      <c r="D54" s="5">
        <v>12</v>
      </c>
      <c r="E54" s="5">
        <v>0</v>
      </c>
      <c r="F54" s="26">
        <v>1</v>
      </c>
      <c r="H54" s="4"/>
      <c r="AL54" s="42" t="s">
        <v>4</v>
      </c>
      <c r="AM54" s="46">
        <f t="shared" si="72"/>
        <v>0.93569131832797425</v>
      </c>
      <c r="AN54" s="47">
        <f t="shared" si="73"/>
        <v>6.7796610169491525E-2</v>
      </c>
      <c r="AO54" s="47">
        <f t="shared" si="74"/>
        <v>0</v>
      </c>
      <c r="AP54" s="86">
        <f t="shared" si="75"/>
        <v>0.88888888888888884</v>
      </c>
      <c r="AR54" s="4"/>
      <c r="BD54" s="42" t="s">
        <v>4</v>
      </c>
      <c r="BE54" s="46">
        <f t="shared" si="10"/>
        <v>6.4308681672025747E-2</v>
      </c>
      <c r="BF54" s="47">
        <f t="shared" si="11"/>
        <v>0.93220338983050843</v>
      </c>
      <c r="BG54" s="47">
        <f t="shared" si="12"/>
        <v>1</v>
      </c>
      <c r="BH54" s="86">
        <f t="shared" si="13"/>
        <v>0.11111111111111116</v>
      </c>
      <c r="BJ54" s="42" t="s">
        <v>16</v>
      </c>
      <c r="BK54" s="13">
        <f t="shared" si="78"/>
        <v>9.3596059113300503E-2</v>
      </c>
      <c r="BL54" s="13">
        <f t="shared" si="79"/>
        <v>0.40350877192982454</v>
      </c>
      <c r="BM54" s="13">
        <f t="shared" si="80"/>
        <v>0.27500000000000008</v>
      </c>
      <c r="BN54" s="13">
        <f t="shared" si="81"/>
        <v>0.125</v>
      </c>
      <c r="BO54" s="13">
        <f t="shared" si="82"/>
        <v>0.32758620689655171</v>
      </c>
      <c r="BP54" s="13">
        <f t="shared" si="83"/>
        <v>0.6271929824561403</v>
      </c>
      <c r="BQ54" s="13">
        <f t="shared" si="84"/>
        <v>0.62500000000000011</v>
      </c>
      <c r="BR54" s="13">
        <f t="shared" si="85"/>
        <v>0.5625</v>
      </c>
    </row>
    <row r="55" spans="1:82" ht="15.75" thickBot="1" x14ac:dyDescent="0.3">
      <c r="A55" s="42" t="s">
        <v>122</v>
      </c>
      <c r="B55" s="4" t="s">
        <v>5</v>
      </c>
      <c r="C55" s="5">
        <v>34</v>
      </c>
      <c r="D55" s="5">
        <v>54</v>
      </c>
      <c r="E55" s="5">
        <v>1</v>
      </c>
      <c r="F55" s="26">
        <v>1</v>
      </c>
      <c r="H55" s="4"/>
      <c r="AL55" s="42" t="s">
        <v>5</v>
      </c>
      <c r="AM55" s="46">
        <f t="shared" si="72"/>
        <v>0.89067524115755625</v>
      </c>
      <c r="AN55" s="47">
        <f t="shared" si="73"/>
        <v>0.30508474576271188</v>
      </c>
      <c r="AO55" s="47">
        <f t="shared" si="74"/>
        <v>3.8461538461538464E-2</v>
      </c>
      <c r="AP55" s="86">
        <f t="shared" si="75"/>
        <v>0.88888888888888884</v>
      </c>
      <c r="AR55" s="4"/>
      <c r="BD55" s="42" t="s">
        <v>5</v>
      </c>
      <c r="BE55" s="46">
        <f t="shared" si="10"/>
        <v>0.10932475884244375</v>
      </c>
      <c r="BF55" s="47">
        <f t="shared" si="11"/>
        <v>0.69491525423728806</v>
      </c>
      <c r="BG55" s="47">
        <f t="shared" si="12"/>
        <v>0.96153846153846156</v>
      </c>
      <c r="BH55" s="86">
        <f t="shared" si="13"/>
        <v>0.11111111111111116</v>
      </c>
      <c r="BJ55" s="42" t="s">
        <v>17</v>
      </c>
      <c r="BK55" s="13">
        <f t="shared" si="78"/>
        <v>1.2012012012011993E-2</v>
      </c>
      <c r="BL55" s="13">
        <f t="shared" si="79"/>
        <v>0.56108597285067874</v>
      </c>
      <c r="BM55" s="13">
        <f t="shared" si="80"/>
        <v>0.92592592592592582</v>
      </c>
      <c r="BN55" s="13">
        <f t="shared" si="81"/>
        <v>0</v>
      </c>
      <c r="BO55" s="13">
        <f t="shared" si="82"/>
        <v>7.8078078078078109E-2</v>
      </c>
      <c r="BP55" s="13">
        <f t="shared" si="83"/>
        <v>0.7601809954751132</v>
      </c>
      <c r="BQ55" s="13">
        <f t="shared" si="84"/>
        <v>0.96296296296296291</v>
      </c>
      <c r="BR55" s="13">
        <f t="shared" si="85"/>
        <v>0.1818181818181818</v>
      </c>
    </row>
    <row r="56" spans="1:82" ht="15.75" thickBot="1" x14ac:dyDescent="0.3">
      <c r="A56" s="42" t="s">
        <v>122</v>
      </c>
      <c r="B56" s="4" t="s">
        <v>6</v>
      </c>
      <c r="C56" s="5">
        <v>34</v>
      </c>
      <c r="D56" s="5">
        <v>122</v>
      </c>
      <c r="E56" s="5">
        <v>1</v>
      </c>
      <c r="F56" s="26">
        <v>1</v>
      </c>
      <c r="H56" s="4"/>
      <c r="AL56" s="42" t="s">
        <v>6</v>
      </c>
      <c r="AM56" s="46">
        <f t="shared" si="72"/>
        <v>0.89067524115755625</v>
      </c>
      <c r="AN56" s="47">
        <f t="shared" si="73"/>
        <v>0.68926553672316382</v>
      </c>
      <c r="AO56" s="47">
        <f t="shared" si="74"/>
        <v>3.8461538461538464E-2</v>
      </c>
      <c r="AP56" s="86">
        <f t="shared" si="75"/>
        <v>0.88888888888888884</v>
      </c>
      <c r="AR56" s="4"/>
      <c r="BD56" s="42" t="s">
        <v>6</v>
      </c>
      <c r="BE56" s="46">
        <f t="shared" si="10"/>
        <v>0.10932475884244375</v>
      </c>
      <c r="BF56" s="47">
        <f t="shared" si="11"/>
        <v>0.31073446327683618</v>
      </c>
      <c r="BG56" s="47">
        <f t="shared" si="12"/>
        <v>0.96153846153846156</v>
      </c>
      <c r="BH56" s="86">
        <f t="shared" si="13"/>
        <v>0.11111111111111116</v>
      </c>
      <c r="BJ56" s="61" t="s">
        <v>21</v>
      </c>
      <c r="BK56" s="13">
        <f t="shared" si="78"/>
        <v>0</v>
      </c>
      <c r="BL56" s="13">
        <f t="shared" si="79"/>
        <v>0.2967032967032967</v>
      </c>
      <c r="BM56" s="13">
        <f t="shared" si="80"/>
        <v>0.52941176470588236</v>
      </c>
      <c r="BN56" s="13">
        <f t="shared" si="81"/>
        <v>0</v>
      </c>
      <c r="BO56" s="13">
        <f t="shared" si="82"/>
        <v>1.2698412698412683E-2</v>
      </c>
      <c r="BP56" s="13">
        <f t="shared" si="83"/>
        <v>0.64835164835164838</v>
      </c>
      <c r="BQ56" s="13">
        <f t="shared" si="84"/>
        <v>0.76470588235294112</v>
      </c>
      <c r="BR56" s="13">
        <f>CC20/(BR20+CC20)</f>
        <v>0.10000000000000003</v>
      </c>
    </row>
    <row r="57" spans="1:82" ht="15.75" thickBot="1" x14ac:dyDescent="0.3">
      <c r="A57" s="42" t="s">
        <v>122</v>
      </c>
      <c r="B57" s="4" t="s">
        <v>8</v>
      </c>
      <c r="C57" s="5">
        <v>23</v>
      </c>
      <c r="D57" s="5">
        <v>61</v>
      </c>
      <c r="E57" s="5">
        <v>1</v>
      </c>
      <c r="F57" s="26">
        <v>1</v>
      </c>
      <c r="H57" s="4"/>
      <c r="AL57" s="42" t="s">
        <v>8</v>
      </c>
      <c r="AM57" s="46">
        <f t="shared" si="72"/>
        <v>0.92604501607717038</v>
      </c>
      <c r="AN57" s="47">
        <f t="shared" si="73"/>
        <v>0.34463276836158191</v>
      </c>
      <c r="AO57" s="47">
        <f t="shared" si="74"/>
        <v>3.8461538461538464E-2</v>
      </c>
      <c r="AP57" s="86">
        <f t="shared" si="75"/>
        <v>0.88888888888888884</v>
      </c>
      <c r="AR57" s="4"/>
      <c r="BD57" s="42" t="s">
        <v>8</v>
      </c>
      <c r="BE57" s="46">
        <f t="shared" si="10"/>
        <v>7.395498392282962E-2</v>
      </c>
      <c r="BF57" s="47">
        <f t="shared" si="11"/>
        <v>0.65536723163841804</v>
      </c>
      <c r="BG57" s="47">
        <f t="shared" si="12"/>
        <v>0.96153846153846156</v>
      </c>
      <c r="BH57" s="86">
        <f t="shared" si="13"/>
        <v>0.11111111111111116</v>
      </c>
    </row>
    <row r="58" spans="1:82" ht="15.75" thickBot="1" x14ac:dyDescent="0.3">
      <c r="A58" s="42" t="s">
        <v>122</v>
      </c>
      <c r="B58" s="4" t="s">
        <v>9</v>
      </c>
      <c r="C58" s="5">
        <v>29</v>
      </c>
      <c r="D58" s="5">
        <v>40</v>
      </c>
      <c r="E58" s="5">
        <v>0</v>
      </c>
      <c r="F58" s="26">
        <v>0</v>
      </c>
      <c r="H58" s="4"/>
      <c r="AL58" s="42" t="s">
        <v>9</v>
      </c>
      <c r="AM58" s="46">
        <f t="shared" si="72"/>
        <v>0.90675241157556274</v>
      </c>
      <c r="AN58" s="47">
        <f t="shared" si="73"/>
        <v>0.22598870056497175</v>
      </c>
      <c r="AO58" s="47">
        <f t="shared" si="74"/>
        <v>0</v>
      </c>
      <c r="AP58" s="86">
        <f t="shared" si="75"/>
        <v>1</v>
      </c>
      <c r="AR58" s="4"/>
      <c r="BD58" s="42" t="s">
        <v>9</v>
      </c>
      <c r="BE58" s="46">
        <f t="shared" si="10"/>
        <v>9.3247588424437255E-2</v>
      </c>
      <c r="BF58" s="47">
        <f t="shared" si="11"/>
        <v>0.77401129943502822</v>
      </c>
      <c r="BG58" s="47">
        <f t="shared" si="12"/>
        <v>1</v>
      </c>
      <c r="BH58" s="86">
        <f t="shared" si="13"/>
        <v>0</v>
      </c>
    </row>
    <row r="59" spans="1:82" ht="15.75" thickBot="1" x14ac:dyDescent="0.3">
      <c r="A59" s="42" t="s">
        <v>122</v>
      </c>
      <c r="B59" s="4" t="s">
        <v>10</v>
      </c>
      <c r="C59" s="5">
        <v>93</v>
      </c>
      <c r="D59" s="5">
        <v>50</v>
      </c>
      <c r="E59" s="5">
        <v>2</v>
      </c>
      <c r="F59" s="26">
        <v>2</v>
      </c>
      <c r="H59" s="4"/>
      <c r="AL59" s="42" t="s">
        <v>10</v>
      </c>
      <c r="AM59" s="46">
        <f t="shared" si="72"/>
        <v>0.70096463022508038</v>
      </c>
      <c r="AN59" s="47">
        <f t="shared" si="73"/>
        <v>0.2824858757062147</v>
      </c>
      <c r="AO59" s="47">
        <f t="shared" si="74"/>
        <v>7.6923076923076927E-2</v>
      </c>
      <c r="AP59" s="86">
        <f t="shared" si="75"/>
        <v>0.77777777777777779</v>
      </c>
      <c r="AR59" s="4"/>
      <c r="BD59" s="42" t="s">
        <v>10</v>
      </c>
      <c r="BE59" s="46">
        <f t="shared" si="10"/>
        <v>0.29903536977491962</v>
      </c>
      <c r="BF59" s="47">
        <f t="shared" si="11"/>
        <v>0.71751412429378525</v>
      </c>
      <c r="BG59" s="47">
        <f t="shared" si="12"/>
        <v>0.92307692307692313</v>
      </c>
      <c r="BH59" s="86">
        <f t="shared" si="13"/>
        <v>0.22222222222222221</v>
      </c>
    </row>
    <row r="60" spans="1:82" ht="15.75" thickBot="1" x14ac:dyDescent="0.3">
      <c r="A60" s="42" t="s">
        <v>122</v>
      </c>
      <c r="B60" s="4" t="s">
        <v>11</v>
      </c>
      <c r="C60" s="5">
        <v>1</v>
      </c>
      <c r="D60" s="5">
        <v>84</v>
      </c>
      <c r="E60" s="5">
        <v>0</v>
      </c>
      <c r="F60" s="26">
        <v>0</v>
      </c>
      <c r="H60" s="4"/>
      <c r="AL60" s="42" t="s">
        <v>11</v>
      </c>
      <c r="AM60" s="46">
        <f t="shared" si="72"/>
        <v>0.99678456591639875</v>
      </c>
      <c r="AN60" s="47">
        <f t="shared" si="73"/>
        <v>0.47457627118644069</v>
      </c>
      <c r="AO60" s="47">
        <f t="shared" si="74"/>
        <v>0</v>
      </c>
      <c r="AP60" s="86">
        <f t="shared" si="75"/>
        <v>1</v>
      </c>
      <c r="AR60" s="4"/>
      <c r="BD60" s="42" t="s">
        <v>11</v>
      </c>
      <c r="BE60" s="46">
        <f t="shared" si="10"/>
        <v>3.215434083601254E-3</v>
      </c>
      <c r="BF60" s="47">
        <f t="shared" si="11"/>
        <v>0.52542372881355925</v>
      </c>
      <c r="BG60" s="47">
        <f t="shared" si="12"/>
        <v>1</v>
      </c>
      <c r="BH60" s="86">
        <f t="shared" si="13"/>
        <v>0</v>
      </c>
    </row>
    <row r="61" spans="1:82" ht="15.75" thickBot="1" x14ac:dyDescent="0.3">
      <c r="A61" s="42" t="s">
        <v>122</v>
      </c>
      <c r="B61" s="4" t="s">
        <v>12</v>
      </c>
      <c r="C61" s="5">
        <v>15</v>
      </c>
      <c r="D61" s="5">
        <v>22</v>
      </c>
      <c r="E61" s="5">
        <v>7</v>
      </c>
      <c r="F61" s="26">
        <v>0</v>
      </c>
      <c r="H61" s="4"/>
      <c r="AL61" s="42" t="s">
        <v>12</v>
      </c>
      <c r="AM61" s="46">
        <f t="shared" si="72"/>
        <v>0.95176848874598075</v>
      </c>
      <c r="AN61" s="47">
        <f t="shared" si="73"/>
        <v>0.12429378531073447</v>
      </c>
      <c r="AO61" s="47">
        <f t="shared" si="74"/>
        <v>0.26923076923076922</v>
      </c>
      <c r="AP61" s="86">
        <f t="shared" si="75"/>
        <v>1</v>
      </c>
      <c r="AR61" s="4"/>
      <c r="BD61" s="42" t="s">
        <v>12</v>
      </c>
      <c r="BE61" s="46">
        <f t="shared" si="10"/>
        <v>4.8231511254019255E-2</v>
      </c>
      <c r="BF61" s="47">
        <f t="shared" si="11"/>
        <v>0.87570621468926557</v>
      </c>
      <c r="BG61" s="47">
        <f t="shared" si="12"/>
        <v>0.73076923076923084</v>
      </c>
      <c r="BH61" s="86">
        <f t="shared" si="13"/>
        <v>0</v>
      </c>
    </row>
    <row r="62" spans="1:82" ht="15.75" thickBot="1" x14ac:dyDescent="0.3">
      <c r="A62" s="42" t="s">
        <v>122</v>
      </c>
      <c r="B62" s="4" t="s">
        <v>13</v>
      </c>
      <c r="C62" s="5">
        <v>12</v>
      </c>
      <c r="D62" s="5">
        <v>116</v>
      </c>
      <c r="E62" s="5">
        <v>2</v>
      </c>
      <c r="F62" s="26">
        <v>0</v>
      </c>
      <c r="H62" s="4"/>
      <c r="AL62" s="42" t="s">
        <v>13</v>
      </c>
      <c r="AM62" s="46">
        <f t="shared" si="72"/>
        <v>0.96141479099678462</v>
      </c>
      <c r="AN62" s="47">
        <f t="shared" si="73"/>
        <v>0.65536723163841804</v>
      </c>
      <c r="AO62" s="47">
        <f t="shared" si="74"/>
        <v>7.6923076923076927E-2</v>
      </c>
      <c r="AP62" s="86">
        <f t="shared" si="75"/>
        <v>1</v>
      </c>
      <c r="AR62" s="4"/>
      <c r="BD62" s="42" t="s">
        <v>13</v>
      </c>
      <c r="BE62" s="46">
        <f t="shared" si="10"/>
        <v>3.8585209003215382E-2</v>
      </c>
      <c r="BF62" s="47">
        <f t="shared" si="11"/>
        <v>0.34463276836158196</v>
      </c>
      <c r="BG62" s="47">
        <f t="shared" si="12"/>
        <v>0.92307692307692313</v>
      </c>
      <c r="BH62" s="86">
        <f t="shared" si="13"/>
        <v>0</v>
      </c>
    </row>
    <row r="63" spans="1:82" ht="15.75" thickBot="1" x14ac:dyDescent="0.3">
      <c r="A63" s="42" t="s">
        <v>122</v>
      </c>
      <c r="B63" s="4" t="s">
        <v>14</v>
      </c>
      <c r="C63" s="5">
        <v>22</v>
      </c>
      <c r="D63" s="5">
        <v>64</v>
      </c>
      <c r="E63" s="5">
        <v>0</v>
      </c>
      <c r="F63" s="26">
        <v>0</v>
      </c>
      <c r="H63" s="4"/>
      <c r="AL63" s="42" t="s">
        <v>14</v>
      </c>
      <c r="AM63" s="46">
        <f t="shared" si="72"/>
        <v>0.92926045016077174</v>
      </c>
      <c r="AN63" s="47">
        <f t="shared" si="73"/>
        <v>0.3615819209039548</v>
      </c>
      <c r="AO63" s="47">
        <f t="shared" si="74"/>
        <v>0</v>
      </c>
      <c r="AP63" s="86">
        <f t="shared" si="75"/>
        <v>1</v>
      </c>
      <c r="AR63" s="4"/>
      <c r="BD63" s="42" t="s">
        <v>14</v>
      </c>
      <c r="BE63" s="46">
        <f t="shared" si="10"/>
        <v>7.0739549839228255E-2</v>
      </c>
      <c r="BF63" s="47">
        <f t="shared" si="11"/>
        <v>0.6384180790960452</v>
      </c>
      <c r="BG63" s="47">
        <f t="shared" si="12"/>
        <v>1</v>
      </c>
      <c r="BH63" s="86">
        <f t="shared" si="13"/>
        <v>0</v>
      </c>
    </row>
    <row r="64" spans="1:82" ht="15.75" thickBot="1" x14ac:dyDescent="0.3">
      <c r="A64" s="42" t="s">
        <v>122</v>
      </c>
      <c r="B64" s="4" t="s">
        <v>15</v>
      </c>
      <c r="C64" s="5">
        <v>4</v>
      </c>
      <c r="D64" s="5">
        <v>27</v>
      </c>
      <c r="E64" s="5">
        <v>1</v>
      </c>
      <c r="F64" s="26">
        <v>2</v>
      </c>
      <c r="H64" s="4"/>
      <c r="AL64" s="42" t="s">
        <v>15</v>
      </c>
      <c r="AM64" s="46">
        <f t="shared" si="72"/>
        <v>0.98713826366559487</v>
      </c>
      <c r="AN64" s="47">
        <f t="shared" si="73"/>
        <v>0.15254237288135594</v>
      </c>
      <c r="AO64" s="47">
        <f t="shared" si="74"/>
        <v>3.8461538461538464E-2</v>
      </c>
      <c r="AP64" s="86">
        <f t="shared" si="75"/>
        <v>0.77777777777777779</v>
      </c>
      <c r="AR64" s="4"/>
      <c r="BD64" s="42" t="s">
        <v>15</v>
      </c>
      <c r="BE64" s="46">
        <f t="shared" si="10"/>
        <v>1.2861736334405127E-2</v>
      </c>
      <c r="BF64" s="47">
        <f t="shared" si="11"/>
        <v>0.84745762711864403</v>
      </c>
      <c r="BG64" s="47">
        <f t="shared" si="12"/>
        <v>0.96153846153846156</v>
      </c>
      <c r="BH64" s="86">
        <f t="shared" si="13"/>
        <v>0.22222222222222221</v>
      </c>
    </row>
    <row r="65" spans="1:60" ht="15.75" thickBot="1" x14ac:dyDescent="0.3">
      <c r="A65" s="42" t="s">
        <v>122</v>
      </c>
      <c r="B65" s="4" t="s">
        <v>16</v>
      </c>
      <c r="C65" s="5">
        <v>52</v>
      </c>
      <c r="D65" s="5">
        <v>34</v>
      </c>
      <c r="E65" s="5">
        <v>4</v>
      </c>
      <c r="F65" s="26">
        <v>4</v>
      </c>
      <c r="H65" s="4"/>
      <c r="AL65" s="42" t="s">
        <v>16</v>
      </c>
      <c r="AM65" s="46">
        <f t="shared" si="72"/>
        <v>0.83279742765273312</v>
      </c>
      <c r="AN65" s="47">
        <f t="shared" si="73"/>
        <v>0.19209039548022599</v>
      </c>
      <c r="AO65" s="47">
        <f t="shared" si="74"/>
        <v>0.15384615384615385</v>
      </c>
      <c r="AP65" s="86">
        <f t="shared" si="75"/>
        <v>0.55555555555555558</v>
      </c>
      <c r="AR65" s="4"/>
      <c r="BD65" s="42" t="s">
        <v>16</v>
      </c>
      <c r="BE65" s="46">
        <f t="shared" si="10"/>
        <v>0.16720257234726688</v>
      </c>
      <c r="BF65" s="47">
        <f t="shared" si="11"/>
        <v>0.80790960451977401</v>
      </c>
      <c r="BG65" s="47">
        <f t="shared" si="12"/>
        <v>0.84615384615384615</v>
      </c>
      <c r="BH65" s="86">
        <f t="shared" si="13"/>
        <v>0.44444444444444442</v>
      </c>
    </row>
    <row r="66" spans="1:60" ht="15.75" thickBot="1" x14ac:dyDescent="0.3">
      <c r="A66" s="42" t="s">
        <v>122</v>
      </c>
      <c r="B66" s="4" t="s">
        <v>17</v>
      </c>
      <c r="C66" s="5">
        <v>9</v>
      </c>
      <c r="D66" s="5">
        <v>11</v>
      </c>
      <c r="E66" s="5">
        <v>0</v>
      </c>
      <c r="F66" s="26">
        <v>0</v>
      </c>
      <c r="H66" s="4"/>
      <c r="AL66" s="42" t="s">
        <v>17</v>
      </c>
      <c r="AM66" s="46">
        <f t="shared" si="72"/>
        <v>0.97106109324758838</v>
      </c>
      <c r="AN66" s="47">
        <f t="shared" si="73"/>
        <v>6.2146892655367235E-2</v>
      </c>
      <c r="AO66" s="47">
        <f t="shared" si="74"/>
        <v>0</v>
      </c>
      <c r="AP66" s="86">
        <f t="shared" si="75"/>
        <v>1</v>
      </c>
      <c r="AR66" s="4"/>
      <c r="BD66" s="42" t="s">
        <v>17</v>
      </c>
      <c r="BE66" s="46">
        <f t="shared" si="10"/>
        <v>2.8938906752411619E-2</v>
      </c>
      <c r="BF66" s="47">
        <f t="shared" si="11"/>
        <v>0.93785310734463279</v>
      </c>
      <c r="BG66" s="47">
        <f t="shared" si="12"/>
        <v>1</v>
      </c>
      <c r="BH66" s="86">
        <f t="shared" si="13"/>
        <v>0</v>
      </c>
    </row>
    <row r="67" spans="1:60" ht="15.75" thickBot="1" x14ac:dyDescent="0.3">
      <c r="A67" s="42" t="s">
        <v>122</v>
      </c>
      <c r="B67" s="4" t="s">
        <v>21</v>
      </c>
      <c r="C67" s="5">
        <v>0</v>
      </c>
      <c r="D67" s="5">
        <v>1</v>
      </c>
      <c r="E67" s="5">
        <v>0</v>
      </c>
      <c r="F67" s="26">
        <v>0</v>
      </c>
      <c r="H67" s="4"/>
      <c r="AL67" s="79" t="s">
        <v>21</v>
      </c>
      <c r="AM67" s="90">
        <f t="shared" si="72"/>
        <v>1</v>
      </c>
      <c r="AN67" s="91">
        <f t="shared" si="73"/>
        <v>5.6497175141242938E-3</v>
      </c>
      <c r="AO67" s="91">
        <f t="shared" si="74"/>
        <v>0</v>
      </c>
      <c r="AP67" s="92">
        <f t="shared" si="75"/>
        <v>1</v>
      </c>
      <c r="AR67" s="4"/>
      <c r="BD67" s="79" t="s">
        <v>21</v>
      </c>
      <c r="BE67" s="90">
        <f t="shared" si="10"/>
        <v>0</v>
      </c>
      <c r="BF67" s="91">
        <f t="shared" si="11"/>
        <v>0.99435028248587576</v>
      </c>
      <c r="BG67" s="91">
        <f t="shared" si="12"/>
        <v>1</v>
      </c>
      <c r="BH67" s="92">
        <f t="shared" si="13"/>
        <v>0</v>
      </c>
    </row>
    <row r="68" spans="1:60" ht="15.75" thickBot="1" x14ac:dyDescent="0.3">
      <c r="A68" s="79" t="s">
        <v>123</v>
      </c>
      <c r="B68" s="80" t="s">
        <v>1</v>
      </c>
      <c r="C68" s="81">
        <v>18</v>
      </c>
      <c r="D68" s="81">
        <v>107</v>
      </c>
      <c r="E68" s="81">
        <v>2</v>
      </c>
      <c r="F68" s="82">
        <v>3</v>
      </c>
      <c r="H68" s="4"/>
      <c r="AL68" s="39" t="s">
        <v>1</v>
      </c>
      <c r="AM68" s="83">
        <f t="shared" ref="AM68:AM99" si="86">(AG$4-C68)/(AG$4-AG$5)</f>
        <v>0.94212218649517687</v>
      </c>
      <c r="AN68" s="84">
        <f t="shared" ref="AN68:AN99" si="87">(D68-AH$5)/(AH$4-AH$5)</f>
        <v>0.60451977401129942</v>
      </c>
      <c r="AO68" s="84">
        <f t="shared" ref="AO68:AO99" si="88">(E68-AI$5)/(AI$4-AI$5)</f>
        <v>7.6923076923076927E-2</v>
      </c>
      <c r="AP68" s="85">
        <f t="shared" ref="AP68:AP99" si="89">(AJ$4-F68)/(AJ$4-AJ$5)</f>
        <v>0.66666666666666663</v>
      </c>
      <c r="AR68" s="4"/>
      <c r="BD68" s="39" t="s">
        <v>1</v>
      </c>
      <c r="BE68" s="83">
        <f t="shared" si="10"/>
        <v>5.7877813504823128E-2</v>
      </c>
      <c r="BF68" s="84">
        <f t="shared" si="11"/>
        <v>0.39548022598870058</v>
      </c>
      <c r="BG68" s="84">
        <f t="shared" si="12"/>
        <v>0.92307692307692313</v>
      </c>
      <c r="BH68" s="85">
        <f t="shared" si="13"/>
        <v>0.33333333333333337</v>
      </c>
    </row>
    <row r="69" spans="1:60" ht="15.75" thickBot="1" x14ac:dyDescent="0.3">
      <c r="A69" s="39" t="s">
        <v>123</v>
      </c>
      <c r="B69" s="76" t="s">
        <v>2</v>
      </c>
      <c r="C69" s="77">
        <v>1</v>
      </c>
      <c r="D69" s="77">
        <v>144</v>
      </c>
      <c r="E69" s="77">
        <v>3</v>
      </c>
      <c r="F69" s="78">
        <v>1</v>
      </c>
      <c r="H69" s="4"/>
      <c r="AL69" s="42" t="s">
        <v>2</v>
      </c>
      <c r="AM69" s="46">
        <f t="shared" si="86"/>
        <v>0.99678456591639875</v>
      </c>
      <c r="AN69" s="47">
        <f t="shared" si="87"/>
        <v>0.81355932203389836</v>
      </c>
      <c r="AO69" s="47">
        <f t="shared" si="88"/>
        <v>0.11538461538461539</v>
      </c>
      <c r="AP69" s="86">
        <f t="shared" si="89"/>
        <v>0.88888888888888884</v>
      </c>
      <c r="AR69" s="4"/>
      <c r="BD69" s="42" t="s">
        <v>2</v>
      </c>
      <c r="BE69" s="46">
        <f t="shared" ref="BE69:BE99" si="90">1-AM69</f>
        <v>3.215434083601254E-3</v>
      </c>
      <c r="BF69" s="47">
        <f t="shared" ref="BF69:BF99" si="91">1-AN69</f>
        <v>0.18644067796610164</v>
      </c>
      <c r="BG69" s="47">
        <f t="shared" ref="BG69:BG99" si="92">1-AO69</f>
        <v>0.88461538461538458</v>
      </c>
      <c r="BH69" s="86">
        <f t="shared" ref="BH69:BH99" si="93">1-AP69</f>
        <v>0.11111111111111116</v>
      </c>
    </row>
    <row r="70" spans="1:60" ht="15.75" thickBot="1" x14ac:dyDescent="0.3">
      <c r="A70" s="42" t="s">
        <v>123</v>
      </c>
      <c r="B70" s="4" t="s">
        <v>4</v>
      </c>
      <c r="C70" s="5">
        <v>78</v>
      </c>
      <c r="D70" s="5">
        <v>23</v>
      </c>
      <c r="E70" s="5">
        <v>2</v>
      </c>
      <c r="F70" s="26">
        <v>1</v>
      </c>
      <c r="H70" s="4"/>
      <c r="AL70" s="42" t="s">
        <v>4</v>
      </c>
      <c r="AM70" s="46">
        <f t="shared" si="86"/>
        <v>0.74919614147909963</v>
      </c>
      <c r="AN70" s="47">
        <f t="shared" si="87"/>
        <v>0.12994350282485875</v>
      </c>
      <c r="AO70" s="47">
        <f t="shared" si="88"/>
        <v>7.6923076923076927E-2</v>
      </c>
      <c r="AP70" s="86">
        <f t="shared" si="89"/>
        <v>0.88888888888888884</v>
      </c>
      <c r="AR70" s="4"/>
      <c r="BD70" s="42" t="s">
        <v>4</v>
      </c>
      <c r="BE70" s="46">
        <f t="shared" si="90"/>
        <v>0.25080385852090037</v>
      </c>
      <c r="BF70" s="47">
        <f t="shared" si="91"/>
        <v>0.87005649717514122</v>
      </c>
      <c r="BG70" s="47">
        <f t="shared" si="92"/>
        <v>0.92307692307692313</v>
      </c>
      <c r="BH70" s="86">
        <f t="shared" si="93"/>
        <v>0.11111111111111116</v>
      </c>
    </row>
    <row r="71" spans="1:60" ht="15.75" thickBot="1" x14ac:dyDescent="0.3">
      <c r="A71" s="42" t="s">
        <v>123</v>
      </c>
      <c r="B71" s="4" t="s">
        <v>5</v>
      </c>
      <c r="C71" s="5">
        <v>33</v>
      </c>
      <c r="D71" s="5">
        <v>87</v>
      </c>
      <c r="E71" s="5">
        <v>0</v>
      </c>
      <c r="F71" s="26">
        <v>0</v>
      </c>
      <c r="H71" s="4"/>
      <c r="AL71" s="42" t="s">
        <v>5</v>
      </c>
      <c r="AM71" s="46">
        <f t="shared" si="86"/>
        <v>0.89389067524115751</v>
      </c>
      <c r="AN71" s="47">
        <f t="shared" si="87"/>
        <v>0.49152542372881358</v>
      </c>
      <c r="AO71" s="47">
        <f t="shared" si="88"/>
        <v>0</v>
      </c>
      <c r="AP71" s="86">
        <f t="shared" si="89"/>
        <v>1</v>
      </c>
      <c r="AR71" s="4"/>
      <c r="BD71" s="42" t="s">
        <v>5</v>
      </c>
      <c r="BE71" s="46">
        <f t="shared" si="90"/>
        <v>0.10610932475884249</v>
      </c>
      <c r="BF71" s="47">
        <f t="shared" si="91"/>
        <v>0.50847457627118642</v>
      </c>
      <c r="BG71" s="47">
        <f t="shared" si="92"/>
        <v>1</v>
      </c>
      <c r="BH71" s="86">
        <f t="shared" si="93"/>
        <v>0</v>
      </c>
    </row>
    <row r="72" spans="1:60" ht="15.75" thickBot="1" x14ac:dyDescent="0.3">
      <c r="A72" s="42" t="s">
        <v>123</v>
      </c>
      <c r="B72" s="4" t="s">
        <v>6</v>
      </c>
      <c r="C72" s="5">
        <v>30</v>
      </c>
      <c r="D72" s="5">
        <v>79</v>
      </c>
      <c r="E72" s="5">
        <v>3</v>
      </c>
      <c r="F72" s="26">
        <v>1</v>
      </c>
      <c r="H72" s="4"/>
      <c r="AL72" s="42" t="s">
        <v>6</v>
      </c>
      <c r="AM72" s="46">
        <f t="shared" si="86"/>
        <v>0.90353697749196138</v>
      </c>
      <c r="AN72" s="47">
        <f t="shared" si="87"/>
        <v>0.4463276836158192</v>
      </c>
      <c r="AO72" s="47">
        <f t="shared" si="88"/>
        <v>0.11538461538461539</v>
      </c>
      <c r="AP72" s="86">
        <f t="shared" si="89"/>
        <v>0.88888888888888884</v>
      </c>
      <c r="AR72" s="4"/>
      <c r="BD72" s="42" t="s">
        <v>6</v>
      </c>
      <c r="BE72" s="46">
        <f t="shared" si="90"/>
        <v>9.6463022508038621E-2</v>
      </c>
      <c r="BF72" s="47">
        <f t="shared" si="91"/>
        <v>0.5536723163841808</v>
      </c>
      <c r="BG72" s="47">
        <f t="shared" si="92"/>
        <v>0.88461538461538458</v>
      </c>
      <c r="BH72" s="86">
        <f t="shared" si="93"/>
        <v>0.11111111111111116</v>
      </c>
    </row>
    <row r="73" spans="1:60" ht="15.75" thickBot="1" x14ac:dyDescent="0.3">
      <c r="A73" s="42" t="s">
        <v>123</v>
      </c>
      <c r="B73" s="4" t="s">
        <v>8</v>
      </c>
      <c r="C73" s="5">
        <v>38</v>
      </c>
      <c r="D73" s="5">
        <v>50</v>
      </c>
      <c r="E73" s="5">
        <v>1</v>
      </c>
      <c r="F73" s="26">
        <v>3</v>
      </c>
      <c r="H73" s="4"/>
      <c r="AL73" s="42" t="s">
        <v>8</v>
      </c>
      <c r="AM73" s="46">
        <f t="shared" si="86"/>
        <v>0.87781350482315113</v>
      </c>
      <c r="AN73" s="47">
        <f t="shared" si="87"/>
        <v>0.2824858757062147</v>
      </c>
      <c r="AO73" s="47">
        <f t="shared" si="88"/>
        <v>3.8461538461538464E-2</v>
      </c>
      <c r="AP73" s="86">
        <f t="shared" si="89"/>
        <v>0.66666666666666663</v>
      </c>
      <c r="AR73" s="4"/>
      <c r="BD73" s="42" t="s">
        <v>8</v>
      </c>
      <c r="BE73" s="46">
        <f t="shared" si="90"/>
        <v>0.12218649517684887</v>
      </c>
      <c r="BF73" s="47">
        <f t="shared" si="91"/>
        <v>0.71751412429378525</v>
      </c>
      <c r="BG73" s="47">
        <f t="shared" si="92"/>
        <v>0.96153846153846156</v>
      </c>
      <c r="BH73" s="86">
        <f t="shared" si="93"/>
        <v>0.33333333333333337</v>
      </c>
    </row>
    <row r="74" spans="1:60" ht="15.75" thickBot="1" x14ac:dyDescent="0.3">
      <c r="A74" s="42" t="s">
        <v>123</v>
      </c>
      <c r="B74" s="4" t="s">
        <v>9</v>
      </c>
      <c r="C74" s="5">
        <v>110</v>
      </c>
      <c r="D74" s="5">
        <v>177</v>
      </c>
      <c r="E74" s="5">
        <v>1</v>
      </c>
      <c r="F74" s="26">
        <v>5</v>
      </c>
      <c r="H74" s="4"/>
      <c r="AL74" s="42" t="s">
        <v>9</v>
      </c>
      <c r="AM74" s="46">
        <f t="shared" si="86"/>
        <v>0.6463022508038585</v>
      </c>
      <c r="AN74" s="47">
        <f t="shared" si="87"/>
        <v>1</v>
      </c>
      <c r="AO74" s="47">
        <f t="shared" si="88"/>
        <v>3.8461538461538464E-2</v>
      </c>
      <c r="AP74" s="86">
        <f t="shared" si="89"/>
        <v>0.44444444444444442</v>
      </c>
      <c r="AR74" s="4"/>
      <c r="BD74" s="42" t="s">
        <v>9</v>
      </c>
      <c r="BE74" s="46">
        <f t="shared" si="90"/>
        <v>0.3536977491961415</v>
      </c>
      <c r="BF74" s="47">
        <f t="shared" si="91"/>
        <v>0</v>
      </c>
      <c r="BG74" s="47">
        <f t="shared" si="92"/>
        <v>0.96153846153846156</v>
      </c>
      <c r="BH74" s="86">
        <f t="shared" si="93"/>
        <v>0.55555555555555558</v>
      </c>
    </row>
    <row r="75" spans="1:60" ht="15.75" thickBot="1" x14ac:dyDescent="0.3">
      <c r="A75" s="42" t="s">
        <v>123</v>
      </c>
      <c r="B75" s="4" t="s">
        <v>10</v>
      </c>
      <c r="C75" s="5">
        <v>143</v>
      </c>
      <c r="D75" s="5">
        <v>56</v>
      </c>
      <c r="E75" s="5">
        <v>9</v>
      </c>
      <c r="F75" s="26">
        <v>6</v>
      </c>
      <c r="H75" s="4"/>
      <c r="AL75" s="42" t="s">
        <v>10</v>
      </c>
      <c r="AM75" s="46">
        <f t="shared" si="86"/>
        <v>0.54019292604501612</v>
      </c>
      <c r="AN75" s="47">
        <f t="shared" si="87"/>
        <v>0.31638418079096048</v>
      </c>
      <c r="AO75" s="47">
        <f t="shared" si="88"/>
        <v>0.34615384615384615</v>
      </c>
      <c r="AP75" s="86">
        <f t="shared" si="89"/>
        <v>0.33333333333333331</v>
      </c>
      <c r="AR75" s="4"/>
      <c r="BD75" s="42" t="s">
        <v>10</v>
      </c>
      <c r="BE75" s="46">
        <f t="shared" si="90"/>
        <v>0.45980707395498388</v>
      </c>
      <c r="BF75" s="47">
        <f t="shared" si="91"/>
        <v>0.68361581920903958</v>
      </c>
      <c r="BG75" s="47">
        <f t="shared" si="92"/>
        <v>0.65384615384615385</v>
      </c>
      <c r="BH75" s="86">
        <f t="shared" si="93"/>
        <v>0.66666666666666674</v>
      </c>
    </row>
    <row r="76" spans="1:60" ht="15.75" thickBot="1" x14ac:dyDescent="0.3">
      <c r="A76" s="42" t="s">
        <v>123</v>
      </c>
      <c r="B76" s="4" t="s">
        <v>11</v>
      </c>
      <c r="C76" s="5">
        <v>1</v>
      </c>
      <c r="D76" s="5">
        <v>112</v>
      </c>
      <c r="E76" s="5">
        <v>0</v>
      </c>
      <c r="F76" s="26">
        <v>0</v>
      </c>
      <c r="H76" s="4"/>
      <c r="AL76" s="42" t="s">
        <v>11</v>
      </c>
      <c r="AM76" s="46">
        <f t="shared" si="86"/>
        <v>0.99678456591639875</v>
      </c>
      <c r="AN76" s="47">
        <f t="shared" si="87"/>
        <v>0.63276836158192096</v>
      </c>
      <c r="AO76" s="47">
        <f t="shared" si="88"/>
        <v>0</v>
      </c>
      <c r="AP76" s="86">
        <f t="shared" si="89"/>
        <v>1</v>
      </c>
      <c r="AR76" s="4"/>
      <c r="BD76" s="42" t="s">
        <v>11</v>
      </c>
      <c r="BE76" s="46">
        <f t="shared" si="90"/>
        <v>3.215434083601254E-3</v>
      </c>
      <c r="BF76" s="47">
        <f t="shared" si="91"/>
        <v>0.36723163841807904</v>
      </c>
      <c r="BG76" s="47">
        <f t="shared" si="92"/>
        <v>1</v>
      </c>
      <c r="BH76" s="86">
        <f t="shared" si="93"/>
        <v>0</v>
      </c>
    </row>
    <row r="77" spans="1:60" ht="15.75" thickBot="1" x14ac:dyDescent="0.3">
      <c r="A77" s="42" t="s">
        <v>123</v>
      </c>
      <c r="B77" s="4" t="s">
        <v>12</v>
      </c>
      <c r="C77" s="5">
        <v>19</v>
      </c>
      <c r="D77" s="5">
        <v>74</v>
      </c>
      <c r="E77" s="5">
        <v>6</v>
      </c>
      <c r="F77" s="26">
        <v>2</v>
      </c>
      <c r="H77" s="4"/>
      <c r="AL77" s="42" t="s">
        <v>12</v>
      </c>
      <c r="AM77" s="46">
        <f t="shared" si="86"/>
        <v>0.93890675241157562</v>
      </c>
      <c r="AN77" s="47">
        <f t="shared" si="87"/>
        <v>0.41807909604519772</v>
      </c>
      <c r="AO77" s="47">
        <f t="shared" si="88"/>
        <v>0.23076923076923078</v>
      </c>
      <c r="AP77" s="86">
        <f t="shared" si="89"/>
        <v>0.77777777777777779</v>
      </c>
      <c r="AR77" s="4"/>
      <c r="BD77" s="42" t="s">
        <v>12</v>
      </c>
      <c r="BE77" s="46">
        <f t="shared" si="90"/>
        <v>6.1093247588424382E-2</v>
      </c>
      <c r="BF77" s="47">
        <f t="shared" si="91"/>
        <v>0.58192090395480234</v>
      </c>
      <c r="BG77" s="47">
        <f t="shared" si="92"/>
        <v>0.76923076923076916</v>
      </c>
      <c r="BH77" s="86">
        <f t="shared" si="93"/>
        <v>0.22222222222222221</v>
      </c>
    </row>
    <row r="78" spans="1:60" ht="15.75" thickBot="1" x14ac:dyDescent="0.3">
      <c r="A78" s="42" t="s">
        <v>123</v>
      </c>
      <c r="B78" s="4" t="s">
        <v>13</v>
      </c>
      <c r="C78" s="5">
        <v>19</v>
      </c>
      <c r="D78" s="5">
        <v>112</v>
      </c>
      <c r="E78" s="5">
        <v>3</v>
      </c>
      <c r="F78" s="26">
        <v>1</v>
      </c>
      <c r="H78" s="4"/>
      <c r="AL78" s="42" t="s">
        <v>13</v>
      </c>
      <c r="AM78" s="46">
        <f t="shared" si="86"/>
        <v>0.93890675241157562</v>
      </c>
      <c r="AN78" s="47">
        <f t="shared" si="87"/>
        <v>0.63276836158192096</v>
      </c>
      <c r="AO78" s="47">
        <f t="shared" si="88"/>
        <v>0.11538461538461539</v>
      </c>
      <c r="AP78" s="86">
        <f t="shared" si="89"/>
        <v>0.88888888888888884</v>
      </c>
      <c r="AR78" s="4"/>
      <c r="BD78" s="42" t="s">
        <v>13</v>
      </c>
      <c r="BE78" s="46">
        <f t="shared" si="90"/>
        <v>6.1093247588424382E-2</v>
      </c>
      <c r="BF78" s="47">
        <f t="shared" si="91"/>
        <v>0.36723163841807904</v>
      </c>
      <c r="BG78" s="47">
        <f t="shared" si="92"/>
        <v>0.88461538461538458</v>
      </c>
      <c r="BH78" s="86">
        <f t="shared" si="93"/>
        <v>0.11111111111111116</v>
      </c>
    </row>
    <row r="79" spans="1:60" ht="15.75" thickBot="1" x14ac:dyDescent="0.3">
      <c r="A79" s="42" t="s">
        <v>123</v>
      </c>
      <c r="B79" s="4" t="s">
        <v>14</v>
      </c>
      <c r="C79" s="5">
        <v>62</v>
      </c>
      <c r="D79" s="5">
        <v>69</v>
      </c>
      <c r="E79" s="5">
        <v>1</v>
      </c>
      <c r="F79" s="26">
        <v>2</v>
      </c>
      <c r="H79" s="4"/>
      <c r="AL79" s="42" t="s">
        <v>14</v>
      </c>
      <c r="AM79" s="46">
        <f t="shared" si="86"/>
        <v>0.80064308681672025</v>
      </c>
      <c r="AN79" s="47">
        <f t="shared" si="87"/>
        <v>0.38983050847457629</v>
      </c>
      <c r="AO79" s="47">
        <f t="shared" si="88"/>
        <v>3.8461538461538464E-2</v>
      </c>
      <c r="AP79" s="86">
        <f t="shared" si="89"/>
        <v>0.77777777777777779</v>
      </c>
      <c r="AR79" s="4"/>
      <c r="BD79" s="42" t="s">
        <v>14</v>
      </c>
      <c r="BE79" s="46">
        <f t="shared" si="90"/>
        <v>0.19935691318327975</v>
      </c>
      <c r="BF79" s="47">
        <f t="shared" si="91"/>
        <v>0.61016949152542366</v>
      </c>
      <c r="BG79" s="47">
        <f t="shared" si="92"/>
        <v>0.96153846153846156</v>
      </c>
      <c r="BH79" s="86">
        <f t="shared" si="93"/>
        <v>0.22222222222222221</v>
      </c>
    </row>
    <row r="80" spans="1:60" ht="15.75" thickBot="1" x14ac:dyDescent="0.3">
      <c r="A80" s="42" t="s">
        <v>123</v>
      </c>
      <c r="B80" s="4" t="s">
        <v>15</v>
      </c>
      <c r="C80" s="5">
        <v>4</v>
      </c>
      <c r="D80" s="5">
        <v>75</v>
      </c>
      <c r="E80" s="5">
        <v>0</v>
      </c>
      <c r="F80" s="26">
        <v>0</v>
      </c>
      <c r="H80" s="4"/>
      <c r="AL80" s="42" t="s">
        <v>15</v>
      </c>
      <c r="AM80" s="46">
        <f t="shared" si="86"/>
        <v>0.98713826366559487</v>
      </c>
      <c r="AN80" s="47">
        <f t="shared" si="87"/>
        <v>0.42372881355932202</v>
      </c>
      <c r="AO80" s="47">
        <f t="shared" si="88"/>
        <v>0</v>
      </c>
      <c r="AP80" s="86">
        <f t="shared" si="89"/>
        <v>1</v>
      </c>
      <c r="AR80" s="4"/>
      <c r="BD80" s="42" t="s">
        <v>15</v>
      </c>
      <c r="BE80" s="46">
        <f t="shared" si="90"/>
        <v>1.2861736334405127E-2</v>
      </c>
      <c r="BF80" s="47">
        <f t="shared" si="91"/>
        <v>0.57627118644067798</v>
      </c>
      <c r="BG80" s="47">
        <f t="shared" si="92"/>
        <v>1</v>
      </c>
      <c r="BH80" s="86">
        <f t="shared" si="93"/>
        <v>0</v>
      </c>
    </row>
    <row r="81" spans="1:60" ht="15.75" thickBot="1" x14ac:dyDescent="0.3">
      <c r="A81" s="42" t="s">
        <v>123</v>
      </c>
      <c r="B81" s="4" t="s">
        <v>16</v>
      </c>
      <c r="C81" s="5">
        <v>96</v>
      </c>
      <c r="D81" s="5">
        <v>85</v>
      </c>
      <c r="E81" s="5">
        <v>1</v>
      </c>
      <c r="F81" s="26">
        <v>4</v>
      </c>
      <c r="H81" s="4"/>
      <c r="AL81" s="42" t="s">
        <v>16</v>
      </c>
      <c r="AM81" s="46">
        <f t="shared" si="86"/>
        <v>0.6913183279742765</v>
      </c>
      <c r="AN81" s="47">
        <f t="shared" si="87"/>
        <v>0.48022598870056499</v>
      </c>
      <c r="AO81" s="47">
        <f t="shared" si="88"/>
        <v>3.8461538461538464E-2</v>
      </c>
      <c r="AP81" s="86">
        <f t="shared" si="89"/>
        <v>0.55555555555555558</v>
      </c>
      <c r="AR81" s="4"/>
      <c r="BD81" s="42" t="s">
        <v>16</v>
      </c>
      <c r="BE81" s="46">
        <f t="shared" si="90"/>
        <v>0.3086816720257235</v>
      </c>
      <c r="BF81" s="47">
        <f t="shared" si="91"/>
        <v>0.51977401129943501</v>
      </c>
      <c r="BG81" s="47">
        <f t="shared" si="92"/>
        <v>0.96153846153846156</v>
      </c>
      <c r="BH81" s="86">
        <f t="shared" si="93"/>
        <v>0.44444444444444442</v>
      </c>
    </row>
    <row r="82" spans="1:60" ht="15.75" thickBot="1" x14ac:dyDescent="0.3">
      <c r="A82" s="42" t="s">
        <v>123</v>
      </c>
      <c r="B82" s="4" t="s">
        <v>17</v>
      </c>
      <c r="C82" s="5">
        <v>26</v>
      </c>
      <c r="D82" s="5">
        <v>53</v>
      </c>
      <c r="E82" s="5">
        <v>0</v>
      </c>
      <c r="F82" s="26">
        <v>2</v>
      </c>
      <c r="H82" s="4"/>
      <c r="AL82" s="42" t="s">
        <v>17</v>
      </c>
      <c r="AM82" s="46">
        <f t="shared" si="86"/>
        <v>0.91639871382636651</v>
      </c>
      <c r="AN82" s="47">
        <f t="shared" si="87"/>
        <v>0.29943502824858759</v>
      </c>
      <c r="AO82" s="47">
        <f t="shared" si="88"/>
        <v>0</v>
      </c>
      <c r="AP82" s="86">
        <f t="shared" si="89"/>
        <v>0.77777777777777779</v>
      </c>
      <c r="AR82" s="4"/>
      <c r="BD82" s="42" t="s">
        <v>17</v>
      </c>
      <c r="BE82" s="46">
        <f t="shared" si="90"/>
        <v>8.3601286173633493E-2</v>
      </c>
      <c r="BF82" s="47">
        <f t="shared" si="91"/>
        <v>0.70056497175141241</v>
      </c>
      <c r="BG82" s="47">
        <f t="shared" si="92"/>
        <v>1</v>
      </c>
      <c r="BH82" s="86">
        <f t="shared" si="93"/>
        <v>0.22222222222222221</v>
      </c>
    </row>
    <row r="83" spans="1:60" ht="15.75" thickBot="1" x14ac:dyDescent="0.3">
      <c r="A83" s="61" t="s">
        <v>123</v>
      </c>
      <c r="B83" s="65" t="s">
        <v>21</v>
      </c>
      <c r="C83" s="27">
        <v>0</v>
      </c>
      <c r="D83" s="27">
        <v>53</v>
      </c>
      <c r="E83" s="27">
        <v>7</v>
      </c>
      <c r="F83" s="28">
        <v>0</v>
      </c>
      <c r="H83" s="4"/>
      <c r="AL83" s="79" t="s">
        <v>21</v>
      </c>
      <c r="AM83" s="90">
        <f t="shared" si="86"/>
        <v>1</v>
      </c>
      <c r="AN83" s="91">
        <f t="shared" si="87"/>
        <v>0.29943502824858759</v>
      </c>
      <c r="AO83" s="91">
        <f t="shared" si="88"/>
        <v>0.26923076923076922</v>
      </c>
      <c r="AP83" s="92">
        <f t="shared" si="89"/>
        <v>1</v>
      </c>
      <c r="AR83" s="4"/>
      <c r="BD83" s="79" t="s">
        <v>21</v>
      </c>
      <c r="BE83" s="90">
        <f t="shared" si="90"/>
        <v>0</v>
      </c>
      <c r="BF83" s="91">
        <f t="shared" si="91"/>
        <v>0.70056497175141241</v>
      </c>
      <c r="BG83" s="91">
        <f t="shared" si="92"/>
        <v>0.73076923076923084</v>
      </c>
      <c r="BH83" s="92">
        <f t="shared" si="93"/>
        <v>0</v>
      </c>
    </row>
    <row r="84" spans="1:60" ht="15.75" thickBot="1" x14ac:dyDescent="0.3">
      <c r="A84" s="42" t="s">
        <v>71</v>
      </c>
      <c r="B84" s="4" t="s">
        <v>1</v>
      </c>
      <c r="C84" s="5">
        <v>5</v>
      </c>
      <c r="D84" s="5">
        <v>70</v>
      </c>
      <c r="E84" s="5">
        <v>2</v>
      </c>
      <c r="F84" s="26">
        <v>1</v>
      </c>
      <c r="H84" s="4"/>
      <c r="AL84" s="42" t="s">
        <v>1</v>
      </c>
      <c r="AM84" s="93">
        <f t="shared" si="86"/>
        <v>0.98392282958199362</v>
      </c>
      <c r="AN84" s="94">
        <f t="shared" si="87"/>
        <v>0.39548022598870058</v>
      </c>
      <c r="AO84" s="94">
        <f t="shared" si="88"/>
        <v>7.6923076923076927E-2</v>
      </c>
      <c r="AP84" s="95">
        <f t="shared" si="89"/>
        <v>0.88888888888888884</v>
      </c>
      <c r="AR84" s="4"/>
      <c r="BD84" s="42" t="s">
        <v>1</v>
      </c>
      <c r="BE84" s="93">
        <f t="shared" si="90"/>
        <v>1.6077170418006381E-2</v>
      </c>
      <c r="BF84" s="94">
        <f t="shared" si="91"/>
        <v>0.60451977401129942</v>
      </c>
      <c r="BG84" s="94">
        <f t="shared" si="92"/>
        <v>0.92307692307692313</v>
      </c>
      <c r="BH84" s="95">
        <f t="shared" si="93"/>
        <v>0.11111111111111116</v>
      </c>
    </row>
    <row r="85" spans="1:60" ht="15.75" thickBot="1" x14ac:dyDescent="0.3">
      <c r="A85" s="42" t="s">
        <v>71</v>
      </c>
      <c r="B85" s="4" t="s">
        <v>2</v>
      </c>
      <c r="C85" s="5">
        <v>2</v>
      </c>
      <c r="D85" s="5">
        <v>63</v>
      </c>
      <c r="E85" s="5">
        <v>26</v>
      </c>
      <c r="F85" s="26">
        <v>0</v>
      </c>
      <c r="H85" s="4"/>
      <c r="AL85" s="42" t="s">
        <v>2</v>
      </c>
      <c r="AM85" s="46">
        <f t="shared" si="86"/>
        <v>0.99356913183279738</v>
      </c>
      <c r="AN85" s="47">
        <f t="shared" si="87"/>
        <v>0.3559322033898305</v>
      </c>
      <c r="AO85" s="47">
        <f t="shared" si="88"/>
        <v>1</v>
      </c>
      <c r="AP85" s="86">
        <f t="shared" si="89"/>
        <v>1</v>
      </c>
      <c r="AR85" s="4"/>
      <c r="BD85" s="42" t="s">
        <v>2</v>
      </c>
      <c r="BE85" s="46">
        <f t="shared" si="90"/>
        <v>6.4308681672026191E-3</v>
      </c>
      <c r="BF85" s="47">
        <f t="shared" si="91"/>
        <v>0.64406779661016955</v>
      </c>
      <c r="BG85" s="47">
        <f t="shared" si="92"/>
        <v>0</v>
      </c>
      <c r="BH85" s="86">
        <f t="shared" si="93"/>
        <v>0</v>
      </c>
    </row>
    <row r="86" spans="1:60" ht="15.75" thickBot="1" x14ac:dyDescent="0.3">
      <c r="A86" s="42" t="s">
        <v>71</v>
      </c>
      <c r="B86" s="4" t="s">
        <v>4</v>
      </c>
      <c r="C86" s="5">
        <v>28</v>
      </c>
      <c r="D86" s="5">
        <v>14</v>
      </c>
      <c r="E86" s="5">
        <v>1</v>
      </c>
      <c r="F86" s="26">
        <v>2</v>
      </c>
      <c r="H86" s="4"/>
      <c r="AL86" s="42" t="s">
        <v>4</v>
      </c>
      <c r="AM86" s="46">
        <f t="shared" si="86"/>
        <v>0.909967845659164</v>
      </c>
      <c r="AN86" s="47">
        <f t="shared" si="87"/>
        <v>7.909604519774012E-2</v>
      </c>
      <c r="AO86" s="47">
        <f t="shared" si="88"/>
        <v>3.8461538461538464E-2</v>
      </c>
      <c r="AP86" s="86">
        <f t="shared" si="89"/>
        <v>0.77777777777777779</v>
      </c>
      <c r="AR86" s="4"/>
      <c r="BD86" s="42" t="s">
        <v>4</v>
      </c>
      <c r="BE86" s="46">
        <f t="shared" si="90"/>
        <v>9.0032154340836001E-2</v>
      </c>
      <c r="BF86" s="47">
        <f t="shared" si="91"/>
        <v>0.92090395480225984</v>
      </c>
      <c r="BG86" s="47">
        <f t="shared" si="92"/>
        <v>0.96153846153846156</v>
      </c>
      <c r="BH86" s="86">
        <f t="shared" si="93"/>
        <v>0.22222222222222221</v>
      </c>
    </row>
    <row r="87" spans="1:60" ht="15.75" thickBot="1" x14ac:dyDescent="0.3">
      <c r="A87" s="42" t="s">
        <v>71</v>
      </c>
      <c r="B87" s="4" t="s">
        <v>5</v>
      </c>
      <c r="C87" s="5">
        <v>28</v>
      </c>
      <c r="D87" s="5">
        <v>56</v>
      </c>
      <c r="E87" s="5">
        <v>0</v>
      </c>
      <c r="F87" s="26">
        <v>0</v>
      </c>
      <c r="H87" s="4"/>
      <c r="AL87" s="42" t="s">
        <v>5</v>
      </c>
      <c r="AM87" s="46">
        <f t="shared" si="86"/>
        <v>0.909967845659164</v>
      </c>
      <c r="AN87" s="47">
        <f t="shared" si="87"/>
        <v>0.31638418079096048</v>
      </c>
      <c r="AO87" s="47">
        <f t="shared" si="88"/>
        <v>0</v>
      </c>
      <c r="AP87" s="86">
        <f t="shared" si="89"/>
        <v>1</v>
      </c>
      <c r="AR87" s="4"/>
      <c r="BD87" s="42" t="s">
        <v>5</v>
      </c>
      <c r="BE87" s="46">
        <f t="shared" si="90"/>
        <v>9.0032154340836001E-2</v>
      </c>
      <c r="BF87" s="47">
        <f t="shared" si="91"/>
        <v>0.68361581920903958</v>
      </c>
      <c r="BG87" s="47">
        <f t="shared" si="92"/>
        <v>1</v>
      </c>
      <c r="BH87" s="86">
        <f t="shared" si="93"/>
        <v>0</v>
      </c>
    </row>
    <row r="88" spans="1:60" ht="15.75" thickBot="1" x14ac:dyDescent="0.3">
      <c r="A88" s="42" t="s">
        <v>71</v>
      </c>
      <c r="B88" s="4" t="s">
        <v>6</v>
      </c>
      <c r="C88" s="5">
        <v>51</v>
      </c>
      <c r="D88" s="5">
        <v>66</v>
      </c>
      <c r="E88" s="5">
        <v>3</v>
      </c>
      <c r="F88" s="26">
        <v>0</v>
      </c>
      <c r="H88" s="4"/>
      <c r="AL88" s="42" t="s">
        <v>6</v>
      </c>
      <c r="AM88" s="46">
        <f t="shared" si="86"/>
        <v>0.83601286173633438</v>
      </c>
      <c r="AN88" s="47">
        <f t="shared" si="87"/>
        <v>0.3728813559322034</v>
      </c>
      <c r="AO88" s="47">
        <f t="shared" si="88"/>
        <v>0.11538461538461539</v>
      </c>
      <c r="AP88" s="86">
        <f t="shared" si="89"/>
        <v>1</v>
      </c>
      <c r="AR88" s="4"/>
      <c r="BD88" s="42" t="s">
        <v>6</v>
      </c>
      <c r="BE88" s="46">
        <f t="shared" si="90"/>
        <v>0.16398713826366562</v>
      </c>
      <c r="BF88" s="47">
        <f t="shared" si="91"/>
        <v>0.6271186440677966</v>
      </c>
      <c r="BG88" s="47">
        <f t="shared" si="92"/>
        <v>0.88461538461538458</v>
      </c>
      <c r="BH88" s="86">
        <f t="shared" si="93"/>
        <v>0</v>
      </c>
    </row>
    <row r="89" spans="1:60" ht="15.75" thickBot="1" x14ac:dyDescent="0.3">
      <c r="A89" s="42" t="s">
        <v>71</v>
      </c>
      <c r="B89" s="4" t="s">
        <v>8</v>
      </c>
      <c r="C89" s="5">
        <v>20</v>
      </c>
      <c r="D89" s="5">
        <v>33</v>
      </c>
      <c r="E89" s="5">
        <v>1</v>
      </c>
      <c r="F89" s="26">
        <v>1</v>
      </c>
      <c r="H89" s="4"/>
      <c r="AL89" s="42" t="s">
        <v>8</v>
      </c>
      <c r="AM89" s="46">
        <f t="shared" si="86"/>
        <v>0.93569131832797425</v>
      </c>
      <c r="AN89" s="47">
        <f t="shared" si="87"/>
        <v>0.1864406779661017</v>
      </c>
      <c r="AO89" s="47">
        <f t="shared" si="88"/>
        <v>3.8461538461538464E-2</v>
      </c>
      <c r="AP89" s="86">
        <f t="shared" si="89"/>
        <v>0.88888888888888884</v>
      </c>
      <c r="AR89" s="4"/>
      <c r="BD89" s="42" t="s">
        <v>8</v>
      </c>
      <c r="BE89" s="46">
        <f t="shared" si="90"/>
        <v>6.4308681672025747E-2</v>
      </c>
      <c r="BF89" s="47">
        <f t="shared" si="91"/>
        <v>0.81355932203389836</v>
      </c>
      <c r="BG89" s="47">
        <f t="shared" si="92"/>
        <v>0.96153846153846156</v>
      </c>
      <c r="BH89" s="86">
        <f t="shared" si="93"/>
        <v>0.11111111111111116</v>
      </c>
    </row>
    <row r="90" spans="1:60" ht="15.75" thickBot="1" x14ac:dyDescent="0.3">
      <c r="A90" s="42" t="s">
        <v>71</v>
      </c>
      <c r="B90" s="4" t="s">
        <v>9</v>
      </c>
      <c r="C90" s="5">
        <v>116</v>
      </c>
      <c r="D90" s="5">
        <v>40</v>
      </c>
      <c r="E90" s="5">
        <v>1</v>
      </c>
      <c r="F90" s="26">
        <v>9</v>
      </c>
      <c r="H90" s="4"/>
      <c r="AL90" s="42" t="s">
        <v>9</v>
      </c>
      <c r="AM90" s="46">
        <f t="shared" si="86"/>
        <v>0.62700964630225076</v>
      </c>
      <c r="AN90" s="47">
        <f t="shared" si="87"/>
        <v>0.22598870056497175</v>
      </c>
      <c r="AO90" s="47">
        <f t="shared" si="88"/>
        <v>3.8461538461538464E-2</v>
      </c>
      <c r="AP90" s="86">
        <f t="shared" si="89"/>
        <v>0</v>
      </c>
      <c r="AR90" s="4"/>
      <c r="BD90" s="42" t="s">
        <v>9</v>
      </c>
      <c r="BE90" s="46">
        <f t="shared" si="90"/>
        <v>0.37299035369774924</v>
      </c>
      <c r="BF90" s="47">
        <f t="shared" si="91"/>
        <v>0.77401129943502822</v>
      </c>
      <c r="BG90" s="47">
        <f t="shared" si="92"/>
        <v>0.96153846153846156</v>
      </c>
      <c r="BH90" s="86">
        <f t="shared" si="93"/>
        <v>1</v>
      </c>
    </row>
    <row r="91" spans="1:60" ht="15.75" thickBot="1" x14ac:dyDescent="0.3">
      <c r="A91" s="42" t="s">
        <v>71</v>
      </c>
      <c r="B91" s="4" t="s">
        <v>10</v>
      </c>
      <c r="C91" s="5">
        <v>108</v>
      </c>
      <c r="D91" s="5">
        <v>54</v>
      </c>
      <c r="E91" s="5">
        <v>4</v>
      </c>
      <c r="F91" s="26">
        <v>6</v>
      </c>
      <c r="H91" s="4"/>
      <c r="AL91" s="42" t="s">
        <v>10</v>
      </c>
      <c r="AM91" s="46">
        <f t="shared" si="86"/>
        <v>0.65273311897106112</v>
      </c>
      <c r="AN91" s="47">
        <f t="shared" si="87"/>
        <v>0.30508474576271188</v>
      </c>
      <c r="AO91" s="47">
        <f t="shared" si="88"/>
        <v>0.15384615384615385</v>
      </c>
      <c r="AP91" s="86">
        <f t="shared" si="89"/>
        <v>0.33333333333333331</v>
      </c>
      <c r="AR91" s="4"/>
      <c r="BD91" s="42" t="s">
        <v>10</v>
      </c>
      <c r="BE91" s="46">
        <f t="shared" si="90"/>
        <v>0.34726688102893888</v>
      </c>
      <c r="BF91" s="47">
        <f t="shared" si="91"/>
        <v>0.69491525423728806</v>
      </c>
      <c r="BG91" s="47">
        <f t="shared" si="92"/>
        <v>0.84615384615384615</v>
      </c>
      <c r="BH91" s="86">
        <f t="shared" si="93"/>
        <v>0.66666666666666674</v>
      </c>
    </row>
    <row r="92" spans="1:60" ht="15.75" thickBot="1" x14ac:dyDescent="0.3">
      <c r="A92" s="42" t="s">
        <v>71</v>
      </c>
      <c r="B92" s="4" t="s">
        <v>11</v>
      </c>
      <c r="C92" s="5">
        <v>3</v>
      </c>
      <c r="D92" s="5">
        <v>72</v>
      </c>
      <c r="E92" s="5">
        <v>0</v>
      </c>
      <c r="F92" s="26">
        <v>0</v>
      </c>
      <c r="H92" s="4"/>
      <c r="AL92" s="42" t="s">
        <v>11</v>
      </c>
      <c r="AM92" s="46">
        <f t="shared" si="86"/>
        <v>0.99035369774919613</v>
      </c>
      <c r="AN92" s="47">
        <f t="shared" si="87"/>
        <v>0.40677966101694918</v>
      </c>
      <c r="AO92" s="47">
        <f t="shared" si="88"/>
        <v>0</v>
      </c>
      <c r="AP92" s="86">
        <f t="shared" si="89"/>
        <v>1</v>
      </c>
      <c r="AR92" s="4"/>
      <c r="BD92" s="42" t="s">
        <v>11</v>
      </c>
      <c r="BE92" s="46">
        <f t="shared" si="90"/>
        <v>9.6463022508038732E-3</v>
      </c>
      <c r="BF92" s="47">
        <f t="shared" si="91"/>
        <v>0.59322033898305082</v>
      </c>
      <c r="BG92" s="47">
        <f t="shared" si="92"/>
        <v>1</v>
      </c>
      <c r="BH92" s="86">
        <f t="shared" si="93"/>
        <v>0</v>
      </c>
    </row>
    <row r="93" spans="1:60" ht="15.75" thickBot="1" x14ac:dyDescent="0.3">
      <c r="A93" s="42" t="s">
        <v>71</v>
      </c>
      <c r="B93" s="4" t="s">
        <v>12</v>
      </c>
      <c r="C93" s="5">
        <v>9</v>
      </c>
      <c r="D93" s="5">
        <v>38</v>
      </c>
      <c r="E93" s="5">
        <v>1</v>
      </c>
      <c r="F93" s="26">
        <v>1</v>
      </c>
      <c r="H93" s="4"/>
      <c r="AL93" s="42" t="s">
        <v>12</v>
      </c>
      <c r="AM93" s="46">
        <f t="shared" si="86"/>
        <v>0.97106109324758838</v>
      </c>
      <c r="AN93" s="47">
        <f t="shared" si="87"/>
        <v>0.21468926553672316</v>
      </c>
      <c r="AO93" s="47">
        <f t="shared" si="88"/>
        <v>3.8461538461538464E-2</v>
      </c>
      <c r="AP93" s="86">
        <f t="shared" si="89"/>
        <v>0.88888888888888884</v>
      </c>
      <c r="AR93" s="4"/>
      <c r="BD93" s="42" t="s">
        <v>12</v>
      </c>
      <c r="BE93" s="46">
        <f t="shared" si="90"/>
        <v>2.8938906752411619E-2</v>
      </c>
      <c r="BF93" s="47">
        <f t="shared" si="91"/>
        <v>0.78531073446327682</v>
      </c>
      <c r="BG93" s="47">
        <f t="shared" si="92"/>
        <v>0.96153846153846156</v>
      </c>
      <c r="BH93" s="86">
        <f t="shared" si="93"/>
        <v>0.11111111111111116</v>
      </c>
    </row>
    <row r="94" spans="1:60" ht="15.75" thickBot="1" x14ac:dyDescent="0.3">
      <c r="A94" s="42" t="s">
        <v>71</v>
      </c>
      <c r="B94" s="4" t="s">
        <v>13</v>
      </c>
      <c r="C94" s="5">
        <v>20</v>
      </c>
      <c r="D94" s="5">
        <v>60</v>
      </c>
      <c r="E94" s="5">
        <v>2</v>
      </c>
      <c r="F94" s="26">
        <v>5</v>
      </c>
      <c r="H94" s="4"/>
      <c r="AL94" s="42" t="s">
        <v>13</v>
      </c>
      <c r="AM94" s="46">
        <f t="shared" si="86"/>
        <v>0.93569131832797425</v>
      </c>
      <c r="AN94" s="47">
        <f t="shared" si="87"/>
        <v>0.33898305084745761</v>
      </c>
      <c r="AO94" s="47">
        <f t="shared" si="88"/>
        <v>7.6923076923076927E-2</v>
      </c>
      <c r="AP94" s="86">
        <f t="shared" si="89"/>
        <v>0.44444444444444442</v>
      </c>
      <c r="AR94" s="4"/>
      <c r="BD94" s="42" t="s">
        <v>13</v>
      </c>
      <c r="BE94" s="46">
        <f t="shared" si="90"/>
        <v>6.4308681672025747E-2</v>
      </c>
      <c r="BF94" s="47">
        <f t="shared" si="91"/>
        <v>0.66101694915254239</v>
      </c>
      <c r="BG94" s="47">
        <f t="shared" si="92"/>
        <v>0.92307692307692313</v>
      </c>
      <c r="BH94" s="86">
        <f t="shared" si="93"/>
        <v>0.55555555555555558</v>
      </c>
    </row>
    <row r="95" spans="1:60" ht="15.75" thickBot="1" x14ac:dyDescent="0.3">
      <c r="A95" s="42" t="s">
        <v>71</v>
      </c>
      <c r="B95" s="4" t="s">
        <v>14</v>
      </c>
      <c r="C95" s="5">
        <v>52</v>
      </c>
      <c r="D95" s="5">
        <v>90</v>
      </c>
      <c r="E95" s="5">
        <v>1</v>
      </c>
      <c r="F95" s="26">
        <v>6</v>
      </c>
      <c r="H95" s="4"/>
      <c r="AL95" s="42" t="s">
        <v>14</v>
      </c>
      <c r="AM95" s="46">
        <f t="shared" si="86"/>
        <v>0.83279742765273312</v>
      </c>
      <c r="AN95" s="47">
        <f t="shared" si="87"/>
        <v>0.50847457627118642</v>
      </c>
      <c r="AO95" s="47">
        <f t="shared" si="88"/>
        <v>3.8461538461538464E-2</v>
      </c>
      <c r="AP95" s="86">
        <f t="shared" si="89"/>
        <v>0.33333333333333331</v>
      </c>
      <c r="AR95" s="4"/>
      <c r="BD95" s="42" t="s">
        <v>14</v>
      </c>
      <c r="BE95" s="46">
        <f t="shared" si="90"/>
        <v>0.16720257234726688</v>
      </c>
      <c r="BF95" s="47">
        <f t="shared" si="91"/>
        <v>0.49152542372881358</v>
      </c>
      <c r="BG95" s="47">
        <f t="shared" si="92"/>
        <v>0.96153846153846156</v>
      </c>
      <c r="BH95" s="86">
        <f t="shared" si="93"/>
        <v>0.66666666666666674</v>
      </c>
    </row>
    <row r="96" spans="1:60" ht="15.75" thickBot="1" x14ac:dyDescent="0.3">
      <c r="A96" s="42" t="s">
        <v>71</v>
      </c>
      <c r="B96" s="4" t="s">
        <v>15</v>
      </c>
      <c r="C96" s="5">
        <v>10</v>
      </c>
      <c r="D96" s="5">
        <v>31</v>
      </c>
      <c r="E96" s="5">
        <v>2</v>
      </c>
      <c r="F96" s="26">
        <v>1</v>
      </c>
      <c r="H96" s="4"/>
      <c r="AL96" s="42" t="s">
        <v>15</v>
      </c>
      <c r="AM96" s="46">
        <f t="shared" si="86"/>
        <v>0.96784565916398713</v>
      </c>
      <c r="AN96" s="47">
        <f t="shared" si="87"/>
        <v>0.1751412429378531</v>
      </c>
      <c r="AO96" s="47">
        <f t="shared" si="88"/>
        <v>7.6923076923076927E-2</v>
      </c>
      <c r="AP96" s="86">
        <f t="shared" si="89"/>
        <v>0.88888888888888884</v>
      </c>
      <c r="AR96" s="4"/>
      <c r="BD96" s="42" t="s">
        <v>15</v>
      </c>
      <c r="BE96" s="46">
        <f t="shared" si="90"/>
        <v>3.2154340836012874E-2</v>
      </c>
      <c r="BF96" s="47">
        <f t="shared" si="91"/>
        <v>0.82485875706214684</v>
      </c>
      <c r="BG96" s="47">
        <f t="shared" si="92"/>
        <v>0.92307692307692313</v>
      </c>
      <c r="BH96" s="86">
        <f t="shared" si="93"/>
        <v>0.11111111111111116</v>
      </c>
    </row>
    <row r="97" spans="1:60" ht="15.75" thickBot="1" x14ac:dyDescent="0.3">
      <c r="A97" s="42" t="s">
        <v>71</v>
      </c>
      <c r="B97" s="4" t="s">
        <v>16</v>
      </c>
      <c r="C97" s="5">
        <v>79</v>
      </c>
      <c r="D97" s="5">
        <v>52</v>
      </c>
      <c r="E97" s="5">
        <v>15</v>
      </c>
      <c r="F97" s="26">
        <v>9</v>
      </c>
      <c r="H97" s="4"/>
      <c r="AL97" s="42" t="s">
        <v>16</v>
      </c>
      <c r="AM97" s="46">
        <f t="shared" si="86"/>
        <v>0.74598070739549838</v>
      </c>
      <c r="AN97" s="47">
        <f t="shared" si="87"/>
        <v>0.29378531073446329</v>
      </c>
      <c r="AO97" s="47">
        <f t="shared" si="88"/>
        <v>0.57692307692307687</v>
      </c>
      <c r="AP97" s="86">
        <f t="shared" si="89"/>
        <v>0</v>
      </c>
      <c r="AR97" s="4"/>
      <c r="BD97" s="42" t="s">
        <v>16</v>
      </c>
      <c r="BE97" s="46">
        <f t="shared" si="90"/>
        <v>0.25401929260450162</v>
      </c>
      <c r="BF97" s="47">
        <f t="shared" si="91"/>
        <v>0.70621468926553677</v>
      </c>
      <c r="BG97" s="47">
        <f t="shared" si="92"/>
        <v>0.42307692307692313</v>
      </c>
      <c r="BH97" s="86">
        <f t="shared" si="93"/>
        <v>1</v>
      </c>
    </row>
    <row r="98" spans="1:60" ht="15.75" thickBot="1" x14ac:dyDescent="0.3">
      <c r="A98" s="42" t="s">
        <v>71</v>
      </c>
      <c r="B98" s="4" t="s">
        <v>17</v>
      </c>
      <c r="C98" s="5">
        <v>12</v>
      </c>
      <c r="D98" s="5">
        <v>31</v>
      </c>
      <c r="E98" s="5">
        <v>1</v>
      </c>
      <c r="F98" s="26">
        <v>0</v>
      </c>
      <c r="H98" s="4"/>
      <c r="AL98" s="42" t="s">
        <v>17</v>
      </c>
      <c r="AM98" s="46">
        <f t="shared" si="86"/>
        <v>0.96141479099678462</v>
      </c>
      <c r="AN98" s="47">
        <f t="shared" si="87"/>
        <v>0.1751412429378531</v>
      </c>
      <c r="AO98" s="47">
        <f t="shared" si="88"/>
        <v>3.8461538461538464E-2</v>
      </c>
      <c r="AP98" s="86">
        <f t="shared" si="89"/>
        <v>1</v>
      </c>
      <c r="AR98" s="4"/>
      <c r="BD98" s="42" t="s">
        <v>17</v>
      </c>
      <c r="BE98" s="46">
        <f t="shared" si="90"/>
        <v>3.8585209003215382E-2</v>
      </c>
      <c r="BF98" s="47">
        <f t="shared" si="91"/>
        <v>0.82485875706214684</v>
      </c>
      <c r="BG98" s="47">
        <f t="shared" si="92"/>
        <v>0.96153846153846156</v>
      </c>
      <c r="BH98" s="86">
        <f t="shared" si="93"/>
        <v>0</v>
      </c>
    </row>
    <row r="99" spans="1:60" ht="15.75" thickBot="1" x14ac:dyDescent="0.3">
      <c r="A99" s="61" t="s">
        <v>71</v>
      </c>
      <c r="B99" s="65" t="s">
        <v>21</v>
      </c>
      <c r="C99" s="27">
        <v>4</v>
      </c>
      <c r="D99" s="27">
        <v>96</v>
      </c>
      <c r="E99" s="27">
        <v>8</v>
      </c>
      <c r="F99" s="28">
        <v>1</v>
      </c>
      <c r="H99" s="4"/>
      <c r="AL99" s="61" t="s">
        <v>21</v>
      </c>
      <c r="AM99" s="87">
        <f t="shared" si="86"/>
        <v>0.98713826366559487</v>
      </c>
      <c r="AN99" s="88">
        <f t="shared" si="87"/>
        <v>0.5423728813559322</v>
      </c>
      <c r="AO99" s="88">
        <f t="shared" si="88"/>
        <v>0.30769230769230771</v>
      </c>
      <c r="AP99" s="89">
        <f t="shared" si="89"/>
        <v>0.88888888888888884</v>
      </c>
      <c r="AR99" s="4"/>
      <c r="BD99" s="61" t="s">
        <v>21</v>
      </c>
      <c r="BE99" s="87">
        <f t="shared" si="90"/>
        <v>1.2861736334405127E-2</v>
      </c>
      <c r="BF99" s="88">
        <f t="shared" si="91"/>
        <v>0.4576271186440678</v>
      </c>
      <c r="BG99" s="88">
        <f t="shared" si="92"/>
        <v>0.69230769230769229</v>
      </c>
      <c r="BH99" s="89">
        <f t="shared" si="93"/>
        <v>0.11111111111111116</v>
      </c>
    </row>
  </sheetData>
  <sortState xmlns:xlrd2="http://schemas.microsoft.com/office/spreadsheetml/2017/richdata2" ref="CY4:DM19">
    <sortCondition ref="CY4:CY19"/>
  </sortState>
  <mergeCells count="30">
    <mergeCell ref="BJ39:BJ40"/>
    <mergeCell ref="BK39:BN39"/>
    <mergeCell ref="BO39:BR39"/>
    <mergeCell ref="CF23:CG23"/>
    <mergeCell ref="CH23:CI23"/>
    <mergeCell ref="CJ23:CK23"/>
    <mergeCell ref="CL23:CM23"/>
    <mergeCell ref="CF25:CG25"/>
    <mergeCell ref="CH25:CI25"/>
    <mergeCell ref="CJ25:CK25"/>
    <mergeCell ref="CL25:CM25"/>
    <mergeCell ref="CF5:CG5"/>
    <mergeCell ref="CH5:CI5"/>
    <mergeCell ref="CJ5:CK5"/>
    <mergeCell ref="CL5:CM5"/>
    <mergeCell ref="BJ21:BJ22"/>
    <mergeCell ref="BK21:BN21"/>
    <mergeCell ref="BO21:BR21"/>
    <mergeCell ref="DF3:DG3"/>
    <mergeCell ref="DE1:DI1"/>
    <mergeCell ref="CL3:CM3"/>
    <mergeCell ref="T1:AD1"/>
    <mergeCell ref="AF1:DC1"/>
    <mergeCell ref="BK3:BN3"/>
    <mergeCell ref="BO3:BR3"/>
    <mergeCell ref="CF3:CG3"/>
    <mergeCell ref="CH3:CI3"/>
    <mergeCell ref="CJ3:CK3"/>
    <mergeCell ref="BV3:BY3"/>
    <mergeCell ref="BZ3:C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cnt</vt:lpstr>
      <vt:lpstr>bi-monthly aggregated 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A4073</dc:creator>
  <cp:lastModifiedBy>Nidhi Kadam</cp:lastModifiedBy>
  <dcterms:created xsi:type="dcterms:W3CDTF">2024-09-17T17:56:59Z</dcterms:created>
  <dcterms:modified xsi:type="dcterms:W3CDTF">2026-06-28T13:26:00Z</dcterms:modified>
</cp:coreProperties>
</file>